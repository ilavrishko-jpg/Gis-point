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шторис 6 мі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<sst xmlns="http://schemas.openxmlformats.org/spreadsheetml/2006/main" count="85" uniqueCount="62">
  <si>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t xml:space="preserve">Проєкт Flyby — кошторис на 6 місяців</t>
  </si>
  <si>
    <t xml:space="preserve">Валюта: USD. Період: 6 місяців. Дата: серпень 2026.</t>
  </si>
  <si>
    <t xml:space="preserve">1. Фонд оплати праці (ФОП)</t>
  </si>
  <si>
    <t xml:space="preserve">Стаття</t>
  </si>
  <si>
    <t xml:space="preserve">К-сть</t>
  </si>
  <si>
    <t xml:space="preserve">Ставка/міс, $</t>
  </si>
  <si>
    <t xml:space="preserve">Разом/міс, $</t>
  </si>
  <si>
    <t xml:space="preserve">За 6 міс, $</t>
  </si>
  <si>
    <t xml:space="preserve">Коментар / джерело</t>
  </si>
  <si>
    <t xml:space="preserve">ІТ-розробники</t>
  </si>
  <si>
    <t xml:space="preserve">Ставка задана замовником</t>
  </si>
  <si>
    <t xml:space="preserve">CTO</t>
  </si>
  <si>
    <t xml:space="preserve">Директор (CEO)</t>
  </si>
  <si>
    <t xml:space="preserve">Інженер-складальник</t>
  </si>
  <si>
    <t xml:space="preserve">Тест-інженер полігону</t>
  </si>
  <si>
    <t xml:space="preserve">ДОДАНО: потрібен для випробувань на полігоні; ставка — оцінка з ринку (UA/EU remote)</t>
  </si>
  <si>
    <t xml:space="preserve">Маркетолог</t>
  </si>
  <si>
    <t xml:space="preserve">Ставка не задана — оцінка з ринку (мідл, UA)</t>
  </si>
  <si>
    <t xml:space="preserve">Лідогенератор</t>
  </si>
  <si>
    <t xml:space="preserve">Продажник (Sales Manager)</t>
  </si>
  <si>
    <t xml:space="preserve">Ставка задана замовником (без бонусів від продажів)</t>
  </si>
  <si>
    <t xml:space="preserve">Закупівельник / supply chain</t>
  </si>
  <si>
    <t xml:space="preserve">ДОДАНО: закупівля комплектуючих на 100 девайсів, логістика; оцінка з ринку</t>
  </si>
  <si>
    <t xml:space="preserve">Бухгалтер (аутсорс, part-time)</t>
  </si>
  <si>
    <t xml:space="preserve">ДОДАНО: облік, зарплати, звітність; оцінка з ринку (аутсорс)</t>
  </si>
  <si>
    <t xml:space="preserve">Разом ФОП</t>
  </si>
  <si>
    <t xml:space="preserve">2. Комплектуючі (виробництво)</t>
  </si>
  <si>
    <t xml:space="preserve">Комплектуючі на девайси</t>
  </si>
  <si>
    <t xml:space="preserve">Задано замовником: $2,000/девайс × 100 шт. Разова закупівля, у колонці 'міс' — усереднення</t>
  </si>
  <si>
    <t xml:space="preserve">Разом комплектуючі</t>
  </si>
  <si>
    <t xml:space="preserve">3. Виставки та відрядження (3 виставки/міс)</t>
  </si>
  <si>
    <t xml:space="preserve">Виставка — Європа (1/міс)</t>
  </si>
  <si>
    <t xml:space="preserve">2 особи: перельоти, готель 3 ночі, квитки, добові; оцінка з ринку</t>
  </si>
  <si>
    <t xml:space="preserve">Виставка — Близький Схід (1/міс)</t>
  </si>
  <si>
    <t xml:space="preserve">2 особи: перельоти, готель, квитки, добові; оцінка з ринку</t>
  </si>
  <si>
    <t xml:space="preserve">Виставка — Північна Америка (1/міс)</t>
  </si>
  <si>
    <t xml:space="preserve">Разом виставки</t>
  </si>
  <si>
    <t xml:space="preserve">4. Операційні витрати</t>
  </si>
  <si>
    <t xml:space="preserve">Випробування на полігоні</t>
  </si>
  <si>
    <t xml:space="preserve">Оренда полігону, пальне, транспорт, витратні матеріали; оцінка</t>
  </si>
  <si>
    <t xml:space="preserve">Маркетинговий бюджет (ads, контент, PR)</t>
  </si>
  <si>
    <t xml:space="preserve">ДОДАНО: без бюджету маркетолог і лідоген не дадуть результату; оцінка</t>
  </si>
  <si>
    <t xml:space="preserve">Софт, хмара, підписки, CRM</t>
  </si>
  <si>
    <t xml:space="preserve">ДОДАНО: GitHub, хмара, CRM, лідген-інструменти (Apollo/LinkedIn Sales Nav); оцінка</t>
  </si>
  <si>
    <t xml:space="preserve">Юрист / сертифікація (аутсорс)</t>
  </si>
  <si>
    <t xml:space="preserve">ДОДАНО: договори, експортні дозволи, сертифікація виробу; оцінка</t>
  </si>
  <si>
    <t xml:space="preserve">Разом операційні</t>
  </si>
  <si>
    <t xml:space="preserve">ПІДСУМОК</t>
  </si>
  <si>
    <t xml:space="preserve">Фонд оплати праці</t>
  </si>
  <si>
    <t xml:space="preserve">Комплектуючі</t>
  </si>
  <si>
    <t xml:space="preserve">Виставки та відрядження</t>
  </si>
  <si>
    <t xml:space="preserve">Операційні витрати</t>
  </si>
  <si>
    <t xml:space="preserve">Проміжний підсумок</t>
  </si>
  <si>
    <t xml:space="preserve">Резерв на непередбачені витрати (10%)</t>
  </si>
  <si>
    <t xml:space="preserve">Стандартна практика для hardware-стартапів: 10–15%</t>
  </si>
  <si>
    <t xml:space="preserve">РАЗОМ НА 6 МІСЯЦІВ</t>
  </si>
  <si>
    <t xml:space="preserve">Середній burn rate на місяць (без разової закупівлі)</t>
  </si>
  <si>
    <t xml:space="preserve">ФОП + виставки + опекс + резерв, без $200k комплектуючих</t>
  </si>
  <si>
    <t xml:space="preserve">Легенда:</t>
  </si>
  <si>
    <t xml:space="preserve">Сині цифри — вхідні дані (можна змінювати): кількість людей, ставки, вартість поїздок, % резерву</t>
  </si>
  <si>
    <t xml:space="preserve">Чорні цифри — формули, перераховуються автоматично</t>
  </si>
  <si>
    <t xml:space="preserve">Жовті клітинки — ключові припущення. Ставки з позначкою 'оцінка з ринку' — орієнтовні, уточніть під свій регіон найму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</si>
</sst>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5" min="3" style="0" width="14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s">
        <v>9</v>
      </c>
      <c r="B6" s="7" t="n">
        <v>3</v>
      </c>
      <c r="C6" s="8" t="n">
        <v>5000</v>
      </c>
      <c r="D6" s="9" t="n">
        <f aca="false">B6*C6</f>
        <v>15000</v>
      </c>
      <c r="E6" s="9" t="n">
        <f aca="false">D6*6</f>
        <v>90000</v>
      </c>
      <c r="F6" s="10" t="s">
        <v>10</v>
      </c>
    </row>
    <row r="7" customFormat="false" ht="15" hidden="false" customHeight="false" outlineLevel="0" collapsed="false">
      <c r="A7" s="6" t="s">
        <v>11</v>
      </c>
      <c r="B7" s="7" t="n">
        <v>1</v>
      </c>
      <c r="C7" s="8" t="n">
        <v>5000</v>
      </c>
      <c r="D7" s="9" t="n">
        <f aca="false">B7*C7</f>
        <v>5000</v>
      </c>
      <c r="E7" s="9" t="n">
        <f aca="false">D7*6</f>
        <v>30000</v>
      </c>
      <c r="F7" s="10" t="s">
        <v>10</v>
      </c>
    </row>
    <row r="8" customFormat="false" ht="15" hidden="false" customHeight="false" outlineLevel="0" collapsed="false">
      <c r="A8" s="6" t="s">
        <v>12</v>
      </c>
      <c r="B8" s="7" t="n">
        <v>1</v>
      </c>
      <c r="C8" s="8" t="n">
        <v>7000</v>
      </c>
      <c r="D8" s="9" t="n">
        <f aca="false">B8*C8</f>
        <v>7000</v>
      </c>
      <c r="E8" s="9" t="n">
        <f aca="false">D8*6</f>
        <v>42000</v>
      </c>
      <c r="F8" s="10" t="s">
        <v>10</v>
      </c>
    </row>
    <row r="9" customFormat="false" ht="15" hidden="false" customHeight="false" outlineLevel="0" collapsed="false">
      <c r="A9" s="6" t="s">
        <v>13</v>
      </c>
      <c r="B9" s="7" t="n">
        <v>2</v>
      </c>
      <c r="C9" s="8" t="n">
        <v>3000</v>
      </c>
      <c r="D9" s="9" t="n">
        <f aca="false">B9*C9</f>
        <v>6000</v>
      </c>
      <c r="E9" s="9" t="n">
        <f aca="false">D9*6</f>
        <v>36000</v>
      </c>
      <c r="F9" s="10" t="s">
        <v>10</v>
      </c>
    </row>
    <row r="10" customFormat="false" ht="22.35" hidden="false" customHeight="false" outlineLevel="0" collapsed="false">
      <c r="A10" s="6" t="s">
        <v>14</v>
      </c>
      <c r="B10" s="7" t="n">
        <v>1</v>
      </c>
      <c r="C10" s="8" t="n">
        <v>3000</v>
      </c>
      <c r="D10" s="9" t="n">
        <f aca="false">B10*C10</f>
        <v>3000</v>
      </c>
      <c r="E10" s="9" t="n">
        <f aca="false">D10*6</f>
        <v>18000</v>
      </c>
      <c r="F10" s="10" t="s">
        <v>15</v>
      </c>
    </row>
    <row r="11" customFormat="false" ht="15" hidden="false" customHeight="false" outlineLevel="0" collapsed="false">
      <c r="A11" s="6" t="s">
        <v>16</v>
      </c>
      <c r="B11" s="7" t="n">
        <v>1</v>
      </c>
      <c r="C11" s="8" t="n">
        <v>2500</v>
      </c>
      <c r="D11" s="9" t="n">
        <f aca="false">B11*C11</f>
        <v>2500</v>
      </c>
      <c r="E11" s="9" t="n">
        <f aca="false">D11*6</f>
        <v>15000</v>
      </c>
      <c r="F11" s="10" t="s">
        <v>17</v>
      </c>
    </row>
    <row r="12" customFormat="false" ht="15" hidden="false" customHeight="false" outlineLevel="0" collapsed="false">
      <c r="A12" s="6" t="s">
        <v>18</v>
      </c>
      <c r="B12" s="7" t="n">
        <v>1</v>
      </c>
      <c r="C12" s="8" t="n">
        <v>1000</v>
      </c>
      <c r="D12" s="9" t="n">
        <f aca="false">B12*C12</f>
        <v>1000</v>
      </c>
      <c r="E12" s="9" t="n">
        <f aca="false">D12*6</f>
        <v>6000</v>
      </c>
      <c r="F12" s="10" t="s">
        <v>10</v>
      </c>
    </row>
    <row r="13" customFormat="false" ht="15" hidden="false" customHeight="false" outlineLevel="0" collapsed="false">
      <c r="A13" s="6" t="s">
        <v>19</v>
      </c>
      <c r="B13" s="7" t="n">
        <v>1</v>
      </c>
      <c r="C13" s="8" t="n">
        <v>3000</v>
      </c>
      <c r="D13" s="9" t="n">
        <f aca="false">B13*C13</f>
        <v>3000</v>
      </c>
      <c r="E13" s="9" t="n">
        <f aca="false">D13*6</f>
        <v>18000</v>
      </c>
      <c r="F13" s="10" t="s">
        <v>20</v>
      </c>
    </row>
    <row r="14" customFormat="false" ht="15" hidden="false" customHeight="false" outlineLevel="0" collapsed="false">
      <c r="A14" s="6" t="s">
        <v>21</v>
      </c>
      <c r="B14" s="7" t="n">
        <v>1</v>
      </c>
      <c r="C14" s="8" t="n">
        <v>2500</v>
      </c>
      <c r="D14" s="9" t="n">
        <f aca="false">B14*C14</f>
        <v>2500</v>
      </c>
      <c r="E14" s="9" t="n">
        <f aca="false">D14*6</f>
        <v>15000</v>
      </c>
      <c r="F14" s="10" t="s">
        <v>22</v>
      </c>
    </row>
    <row r="15" customFormat="false" ht="15" hidden="false" customHeight="false" outlineLevel="0" collapsed="false">
      <c r="A15" s="6" t="s">
        <v>23</v>
      </c>
      <c r="B15" s="7" t="n">
        <v>1</v>
      </c>
      <c r="C15" s="8" t="n">
        <v>800</v>
      </c>
      <c r="D15" s="9" t="n">
        <f aca="false">B15*C15</f>
        <v>800</v>
      </c>
      <c r="E15" s="9" t="n">
        <f aca="false">D15*6</f>
        <v>4800</v>
      </c>
      <c r="F15" s="10" t="s">
        <v>24</v>
      </c>
    </row>
    <row r="16" customFormat="false" ht="15" hidden="false" customHeight="false" outlineLevel="0" collapsed="false">
      <c r="A16" s="11" t="s">
        <v>25</v>
      </c>
      <c r="B16" s="12"/>
      <c r="C16" s="12"/>
      <c r="D16" s="13" t="n">
        <f aca="false">SUM(D6:D15)</f>
        <v>45800</v>
      </c>
      <c r="E16" s="13" t="n">
        <f aca="false">SUM(E6:E15)</f>
        <v>274800</v>
      </c>
      <c r="F16" s="12"/>
    </row>
    <row r="18" customFormat="false" ht="15" hidden="false" customHeight="false" outlineLevel="0" collapsed="false">
      <c r="A18" s="3" t="s">
        <v>26</v>
      </c>
      <c r="B18" s="4"/>
      <c r="C18" s="4"/>
      <c r="D18" s="4"/>
      <c r="E18" s="4"/>
      <c r="F18" s="4"/>
    </row>
    <row r="19" customFormat="false" ht="15" hidden="false" customHeight="fals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</row>
    <row r="20" customFormat="false" ht="22.35" hidden="false" customHeight="false" outlineLevel="0" collapsed="false">
      <c r="A20" s="6" t="s">
        <v>27</v>
      </c>
      <c r="B20" s="7" t="n">
        <v>100</v>
      </c>
      <c r="C20" s="8" t="n">
        <v>2000</v>
      </c>
      <c r="D20" s="9" t="n">
        <f aca="false">E20/6</f>
        <v>33333.3333333333</v>
      </c>
      <c r="E20" s="9" t="n">
        <f aca="false">B20*C20</f>
        <v>200000</v>
      </c>
      <c r="F20" s="10" t="s">
        <v>28</v>
      </c>
    </row>
    <row r="21" customFormat="false" ht="15" hidden="false" customHeight="false" outlineLevel="0" collapsed="false">
      <c r="A21" s="11" t="s">
        <v>29</v>
      </c>
      <c r="B21" s="12"/>
      <c r="C21" s="12"/>
      <c r="D21" s="13" t="n">
        <f aca="false">SUM(D20:D20)</f>
        <v>33333.3333333333</v>
      </c>
      <c r="E21" s="13" t="n">
        <f aca="false">SUM(E20:E20)</f>
        <v>200000</v>
      </c>
      <c r="F21" s="12"/>
    </row>
    <row r="23" customFormat="false" ht="15" hidden="false" customHeight="false" outlineLevel="0" collapsed="false">
      <c r="A23" s="3" t="s">
        <v>30</v>
      </c>
      <c r="B23" s="4"/>
      <c r="C23" s="4"/>
      <c r="D23" s="4"/>
      <c r="E23" s="4"/>
      <c r="F23" s="4"/>
    </row>
    <row r="24" customFormat="false" ht="15" hidden="false" customHeight="false" outlineLevel="0" collapsed="false">
      <c r="A24" s="5" t="s">
        <v>3</v>
      </c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</row>
    <row r="25" customFormat="false" ht="15" hidden="false" customHeight="false" outlineLevel="0" collapsed="false">
      <c r="A25" s="6" t="s">
        <v>31</v>
      </c>
      <c r="B25" s="7" t="n">
        <v>1</v>
      </c>
      <c r="C25" s="8" t="n">
        <v>2500</v>
      </c>
      <c r="D25" s="9" t="n">
        <f aca="false">B25*C25</f>
        <v>2500</v>
      </c>
      <c r="E25" s="9" t="n">
        <f aca="false">D25*6</f>
        <v>15000</v>
      </c>
      <c r="F25" s="10" t="s">
        <v>32</v>
      </c>
    </row>
    <row r="26" customFormat="false" ht="15" hidden="false" customHeight="false" outlineLevel="0" collapsed="false">
      <c r="A26" s="6" t="s">
        <v>33</v>
      </c>
      <c r="B26" s="7" t="n">
        <v>1</v>
      </c>
      <c r="C26" s="8" t="n">
        <v>3500</v>
      </c>
      <c r="D26" s="9" t="n">
        <f aca="false">B26*C26</f>
        <v>3500</v>
      </c>
      <c r="E26" s="9" t="n">
        <f aca="false">D26*6</f>
        <v>21000</v>
      </c>
      <c r="F26" s="10" t="s">
        <v>34</v>
      </c>
    </row>
    <row r="27" customFormat="false" ht="15" hidden="false" customHeight="false" outlineLevel="0" collapsed="false">
      <c r="A27" s="6" t="s">
        <v>35</v>
      </c>
      <c r="B27" s="7" t="n">
        <v>1</v>
      </c>
      <c r="C27" s="8" t="n">
        <v>4500</v>
      </c>
      <c r="D27" s="9" t="n">
        <f aca="false">B27*C27</f>
        <v>4500</v>
      </c>
      <c r="E27" s="9" t="n">
        <f aca="false">D27*6</f>
        <v>27000</v>
      </c>
      <c r="F27" s="10" t="s">
        <v>34</v>
      </c>
    </row>
    <row r="28" customFormat="false" ht="15" hidden="false" customHeight="false" outlineLevel="0" collapsed="false">
      <c r="A28" s="11" t="s">
        <v>36</v>
      </c>
      <c r="B28" s="12"/>
      <c r="C28" s="12"/>
      <c r="D28" s="13" t="n">
        <f aca="false">SUM(D25:D27)</f>
        <v>10500</v>
      </c>
      <c r="E28" s="13" t="n">
        <f aca="false">SUM(E25:E27)</f>
        <v>63000</v>
      </c>
      <c r="F28" s="12"/>
    </row>
    <row r="30" customFormat="false" ht="15" hidden="false" customHeight="false" outlineLevel="0" collapsed="false">
      <c r="A30" s="3" t="s">
        <v>37</v>
      </c>
      <c r="B30" s="4"/>
      <c r="C30" s="4"/>
      <c r="D30" s="4"/>
      <c r="E30" s="4"/>
      <c r="F30" s="4"/>
    </row>
    <row r="31" customFormat="false" ht="15" hidden="false" customHeight="false" outlineLevel="0" collapsed="false">
      <c r="A31" s="5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</row>
    <row r="32" customFormat="false" ht="15" hidden="false" customHeight="false" outlineLevel="0" collapsed="false">
      <c r="A32" s="6" t="s">
        <v>38</v>
      </c>
      <c r="B32" s="7" t="n">
        <v>1</v>
      </c>
      <c r="C32" s="8" t="n">
        <v>2000</v>
      </c>
      <c r="D32" s="9" t="n">
        <f aca="false">B32*C32</f>
        <v>2000</v>
      </c>
      <c r="E32" s="9" t="n">
        <f aca="false">D32*6</f>
        <v>12000</v>
      </c>
      <c r="F32" s="10" t="s">
        <v>39</v>
      </c>
    </row>
    <row r="33" customFormat="false" ht="15" hidden="false" customHeight="false" outlineLevel="0" collapsed="false">
      <c r="A33" s="6" t="s">
        <v>40</v>
      </c>
      <c r="B33" s="7" t="n">
        <v>1</v>
      </c>
      <c r="C33" s="8" t="n">
        <v>2000</v>
      </c>
      <c r="D33" s="9" t="n">
        <f aca="false">B33*C33</f>
        <v>2000</v>
      </c>
      <c r="E33" s="9" t="n">
        <f aca="false">D33*6</f>
        <v>12000</v>
      </c>
      <c r="F33" s="10" t="s">
        <v>41</v>
      </c>
    </row>
    <row r="34" customFormat="false" ht="22.35" hidden="false" customHeight="false" outlineLevel="0" collapsed="false">
      <c r="A34" s="6" t="s">
        <v>42</v>
      </c>
      <c r="B34" s="7" t="n">
        <v>1</v>
      </c>
      <c r="C34" s="8" t="n">
        <v>1000</v>
      </c>
      <c r="D34" s="9" t="n">
        <f aca="false">B34*C34</f>
        <v>1000</v>
      </c>
      <c r="E34" s="9" t="n">
        <f aca="false">D34*6</f>
        <v>6000</v>
      </c>
      <c r="F34" s="10" t="s">
        <v>43</v>
      </c>
    </row>
    <row r="35" customFormat="false" ht="15" hidden="false" customHeight="false" outlineLevel="0" collapsed="false">
      <c r="A35" s="6" t="s">
        <v>44</v>
      </c>
      <c r="B35" s="7" t="n">
        <v>1</v>
      </c>
      <c r="C35" s="8" t="n">
        <v>1000</v>
      </c>
      <c r="D35" s="9" t="n">
        <f aca="false">B35*C35</f>
        <v>1000</v>
      </c>
      <c r="E35" s="9" t="n">
        <f aca="false">D35*6</f>
        <v>6000</v>
      </c>
      <c r="F35" s="10" t="s">
        <v>45</v>
      </c>
    </row>
    <row r="36" customFormat="false" ht="15" hidden="false" customHeight="false" outlineLevel="0" collapsed="false">
      <c r="A36" s="11" t="s">
        <v>46</v>
      </c>
      <c r="B36" s="12"/>
      <c r="C36" s="12"/>
      <c r="D36" s="13" t="n">
        <f aca="false">SUM(D32:D35)</f>
        <v>6000</v>
      </c>
      <c r="E36" s="13" t="n">
        <f aca="false">SUM(E32:E35)</f>
        <v>36000</v>
      </c>
      <c r="F36" s="12"/>
    </row>
    <row r="38" customFormat="false" ht="15" hidden="false" customHeight="false" outlineLevel="0" collapsed="false">
      <c r="A38" s="3" t="s">
        <v>47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6" t="s">
        <v>48</v>
      </c>
      <c r="B39" s="14"/>
      <c r="C39" s="14"/>
      <c r="D39" s="15" t="n">
        <f aca="false">D16</f>
        <v>45800</v>
      </c>
      <c r="E39" s="15" t="n">
        <f aca="false">E16</f>
        <v>274800</v>
      </c>
      <c r="F39" s="14"/>
    </row>
    <row r="40" customFormat="false" ht="15" hidden="false" customHeight="false" outlineLevel="0" collapsed="false">
      <c r="A40" s="6" t="s">
        <v>49</v>
      </c>
      <c r="B40" s="14"/>
      <c r="C40" s="14"/>
      <c r="D40" s="15" t="n">
        <f aca="false">D21</f>
        <v>33333.3333333333</v>
      </c>
      <c r="E40" s="15" t="n">
        <f aca="false">E21</f>
        <v>200000</v>
      </c>
      <c r="F40" s="14"/>
    </row>
    <row r="41" customFormat="false" ht="15" hidden="false" customHeight="false" outlineLevel="0" collapsed="false">
      <c r="A41" s="6" t="s">
        <v>50</v>
      </c>
      <c r="B41" s="14"/>
      <c r="C41" s="14"/>
      <c r="D41" s="15" t="n">
        <f aca="false">D28</f>
        <v>10500</v>
      </c>
      <c r="E41" s="15" t="n">
        <f aca="false">E28</f>
        <v>63000</v>
      </c>
      <c r="F41" s="14"/>
    </row>
    <row r="42" customFormat="false" ht="15" hidden="false" customHeight="false" outlineLevel="0" collapsed="false">
      <c r="A42" s="6" t="s">
        <v>51</v>
      </c>
      <c r="B42" s="14"/>
      <c r="C42" s="14"/>
      <c r="D42" s="15" t="n">
        <f aca="false">D36</f>
        <v>6000</v>
      </c>
      <c r="E42" s="15" t="n">
        <f aca="false">E36</f>
        <v>36000</v>
      </c>
      <c r="F42" s="14"/>
    </row>
    <row r="43" customFormat="false" ht="15" hidden="false" customHeight="false" outlineLevel="0" collapsed="false">
      <c r="A43" s="16" t="s">
        <v>52</v>
      </c>
      <c r="B43" s="14"/>
      <c r="C43" s="14"/>
      <c r="D43" s="17" t="n">
        <f aca="false">SUM(D39:D42)</f>
        <v>95633.3333333333</v>
      </c>
      <c r="E43" s="17" t="n">
        <f aca="false">SUM(E39:E42)</f>
        <v>573800</v>
      </c>
      <c r="F43" s="14"/>
    </row>
    <row r="44" customFormat="false" ht="15" hidden="false" customHeight="false" outlineLevel="0" collapsed="false">
      <c r="A44" s="6" t="s">
        <v>53</v>
      </c>
      <c r="B44" s="18" t="n">
        <v>0.1</v>
      </c>
      <c r="C44" s="14"/>
      <c r="D44" s="9" t="n">
        <f aca="false">D43*B44</f>
        <v>9563.33333333333</v>
      </c>
      <c r="E44" s="9" t="n">
        <f aca="false">E43*B44</f>
        <v>57380</v>
      </c>
      <c r="F44" s="19" t="s">
        <v>54</v>
      </c>
    </row>
    <row r="45" customFormat="false" ht="15" hidden="false" customHeight="false" outlineLevel="0" collapsed="false">
      <c r="A45" s="20" t="s">
        <v>55</v>
      </c>
      <c r="B45" s="21"/>
      <c r="C45" s="21"/>
      <c r="D45" s="22" t="n">
        <f aca="false">D43+D44</f>
        <v>105196.666666667</v>
      </c>
      <c r="E45" s="22" t="n">
        <f aca="false">E43+E44</f>
        <v>631180</v>
      </c>
      <c r="F45" s="21"/>
    </row>
    <row r="46" customFormat="false" ht="15" hidden="false" customHeight="false" outlineLevel="0" collapsed="false">
      <c r="A46" s="23" t="s">
        <v>56</v>
      </c>
      <c r="D46" s="24" t="n">
        <f aca="false">(E45-E21)/6</f>
        <v>71863.3333333333</v>
      </c>
      <c r="F46" s="25" t="s">
        <v>57</v>
      </c>
    </row>
    <row r="48" customFormat="false" ht="15" hidden="false" customHeight="false" outlineLevel="0" collapsed="false">
      <c r="A48" s="23" t="s">
        <v>58</v>
      </c>
    </row>
    <row r="49" customFormat="false" ht="15" hidden="false" customHeight="false" outlineLevel="0" collapsed="false">
      <c r="A49" s="26" t="s">
        <v>59</v>
      </c>
    </row>
    <row r="50" customFormat="false" ht="15" hidden="false" customHeight="false" outlineLevel="0" collapsed="false">
      <c r="A50" s="25" t="s">
        <v>60</v>
      </c>
    </row>
    <row r="51" customFormat="false" ht="15" hidden="false" customHeight="false" outlineLevel="0" collapsed="false">
      <c r="A51" s="25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2026-08-26T22:34:35Z</dcterms:created>
  <dc:creator>openpyxl</dc:creator>
  <dc:description/>
  <dc:language>en-US</dc:language>
  <cp:lastModifiedBy/>
  <dcterms:modified xsi:type="dcterms:W3CDTF">2026-08-26T22:34:35Z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