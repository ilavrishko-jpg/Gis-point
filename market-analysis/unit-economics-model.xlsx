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Припущення" sheetId="1" state="visible" r:id="rId1"/>
    <sheet name="2.Юніт-економіка" sheetId="2" state="visible" r:id="rId2"/>
    <sheet name="3.Ринки" sheetId="3" state="visible" r:id="rId3"/>
    <sheet name="4.Матриця рішення" sheetId="4" state="visible" r:id="rId4"/>
    <sheet name="5.P&amp;L 2026-2029" sheetId="5" state="visible" r:id="rId5"/>
    <sheet name="6.Сценарії" sheetId="6" state="visible" r:id="rId6"/>
    <sheet name="7.Чотири ринк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#,##0.0"/>
    <numFmt numFmtId="167" formatCode="0.0&quot;x&quot;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66666"/>
      <sz val="9"/>
    </font>
    <font>
      <b val="1"/>
      <color rgb="00FFFFFF"/>
      <sz val="11"/>
    </font>
    <font>
      <b val="1"/>
    </font>
    <font>
      <b val="1"/>
      <color rgb="001F3864"/>
    </font>
    <font>
      <b val="1"/>
      <color rgb="001F3864"/>
      <sz val="11"/>
    </font>
    <font>
      <b val="1"/>
      <color rgb="00C00000"/>
    </font>
    <font>
      <i val="1"/>
      <color rgb="00C00000"/>
      <sz val="9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  <xf numFmtId="3" fontId="0" fillId="3" borderId="1" pivotButton="0" quotePrefix="0" xfId="0"/>
    <xf numFmtId="9" fontId="0" fillId="3" borderId="1" pivotButton="0" quotePrefix="0" xfId="0"/>
    <xf numFmtId="3" fontId="0" fillId="0" borderId="1" pivotButton="0" quotePrefix="0" xfId="0"/>
    <xf numFmtId="1" fontId="0" fillId="0" borderId="1" pivotButton="0" quotePrefix="0" xfId="0"/>
    <xf numFmtId="9" fontId="0" fillId="0" borderId="1" pivotButton="0" quotePrefix="0" xfId="0"/>
    <xf numFmtId="0" fontId="4" fillId="0" borderId="1" pivotButton="0" quotePrefix="0" xfId="0"/>
    <xf numFmtId="3" fontId="4" fillId="4" borderId="1" pivotButton="0" quotePrefix="0" xfId="0"/>
    <xf numFmtId="3" fontId="4" fillId="5" borderId="1" pivotButton="0" quotePrefix="0" xfId="0"/>
    <xf numFmtId="9" fontId="0" fillId="4" borderId="1" pivotButton="0" quotePrefix="0" xfId="0"/>
    <xf numFmtId="9" fontId="0" fillId="5" borderId="1" pivotButton="0" quotePrefix="0" xfId="0"/>
    <xf numFmtId="0" fontId="4" fillId="0" borderId="0" pivotButton="0" quotePrefix="0" xfId="0"/>
    <xf numFmtId="3" fontId="4" fillId="5" borderId="0" pivotButton="0" quotePrefix="0" xfId="0"/>
    <xf numFmtId="1" fontId="0" fillId="5" borderId="1" pivotButton="0" quotePrefix="0" xfId="0"/>
    <xf numFmtId="1" fontId="4" fillId="0" borderId="0" pivotButton="0" quotePrefix="0" xfId="0"/>
    <xf numFmtId="0" fontId="5" fillId="0" borderId="0" pivotButton="0" quotePrefix="0" xfId="0"/>
    <xf numFmtId="3" fontId="0" fillId="5" borderId="1" pivotButton="0" quotePrefix="0" xfId="0"/>
    <xf numFmtId="165" fontId="0" fillId="5" borderId="1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4" borderId="1" pivotButton="0" quotePrefix="0" xfId="0"/>
    <xf numFmtId="3" fontId="0" fillId="4" borderId="1" pivotButton="0" quotePrefix="0" xfId="0"/>
    <xf numFmtId="0" fontId="0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1" fontId="0" fillId="4" borderId="1" pivotButton="0" quotePrefix="0" xfId="0"/>
    <xf numFmtId="0" fontId="6" fillId="0" borderId="0" pivotButton="0" quotePrefix="0" xfId="0"/>
    <xf numFmtId="0" fontId="4" fillId="6" borderId="1" pivotButton="0" quotePrefix="0" xfId="0"/>
    <xf numFmtId="3" fontId="4" fillId="6" borderId="1" pivotButton="0" quotePrefix="0" xfId="0"/>
    <xf numFmtId="1" fontId="4" fillId="6" borderId="1" pivotButton="0" quotePrefix="0" xfId="0"/>
    <xf numFmtId="0" fontId="7" fillId="0" borderId="0" pivotButton="0" quotePrefix="0" xfId="0"/>
    <xf numFmtId="2" fontId="4" fillId="5" borderId="1" pivotButton="0" quotePrefix="0" xfId="0"/>
    <xf numFmtId="2" fontId="4" fillId="0" borderId="1" pivotButton="0" quotePrefix="0" xfId="0"/>
    <xf numFmtId="2" fontId="4" fillId="4" borderId="1" pivotButton="0" quotePrefix="0" xfId="0"/>
    <xf numFmtId="0" fontId="8" fillId="0" borderId="0" pivotButton="0" quotePrefix="0" xfId="0"/>
    <xf numFmtId="166" fontId="0" fillId="0" borderId="1" pivotButton="0" quotePrefix="0" xfId="0"/>
    <xf numFmtId="166" fontId="4" fillId="6" borderId="1" pivotButton="0" quotePrefix="0" xfId="0"/>
    <xf numFmtId="9" fontId="4" fillId="6" borderId="1" pivotButton="0" quotePrefix="0" xfId="0"/>
    <xf numFmtId="166" fontId="0" fillId="0" borderId="0" pivotButton="0" quotePrefix="0" xfId="0"/>
    <xf numFmtId="0" fontId="0" fillId="6" borderId="1" pivotButton="0" quotePrefix="0" xfId="0"/>
    <xf numFmtId="165" fontId="4" fillId="6" borderId="1" pivotButton="0" quotePrefix="0" xfId="0"/>
    <xf numFmtId="3" fontId="0" fillId="6" borderId="1" pivotButton="0" quotePrefix="0" xfId="0"/>
    <xf numFmtId="0" fontId="9" fillId="0" borderId="0" pivotButton="0" quotePrefix="0" xfId="0"/>
    <xf numFmtId="167" fontId="4" fillId="5" borderId="1" pivotButton="0" quotePrefix="0" xfId="0"/>
    <xf numFmtId="0" fontId="0" fillId="0" borderId="0" applyAlignment="1" pivotButton="0" quotePrefix="0" xfId="0">
      <alignment horizontal="center"/>
    </xf>
    <xf numFmtId="166" fontId="4" fillId="5" borderId="0" pivotButton="0" quotePrefix="0" xfId="0"/>
    <xf numFmtId="2" fontId="0" fillId="3" borderId="1" pivotButton="0" quotePrefix="0" xfId="0"/>
    <xf numFmtId="2" fontId="0" fillId="4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ПРИПУЩЕННЯ — жовті комірки редагуються, решта рахується формулами</t>
        </is>
      </c>
    </row>
    <row r="2">
      <c r="A2" s="2" t="inlineStr">
        <is>
          <t>Редакція 3: денні ставки — ФАКТИЧНІ дані власника. Експорт вилучено з аналізу.</t>
        </is>
      </c>
    </row>
    <row r="4" ht="30" customHeight="1">
      <c r="A4" s="3" t="inlineStr">
        <is>
          <t>Параметр</t>
        </is>
      </c>
      <c r="B4" s="3" t="inlineStr">
        <is>
          <t>2026</t>
        </is>
      </c>
      <c r="C4" s="3" t="inlineStr">
        <is>
          <t>2027</t>
        </is>
      </c>
      <c r="D4" s="3" t="inlineStr">
        <is>
          <t>2028</t>
        </is>
      </c>
      <c r="E4" s="3" t="inlineStr">
        <is>
          <t>2029</t>
        </is>
      </c>
      <c r="F4" s="3" t="inlineStr">
        <is>
          <t>Джерело / коментар</t>
        </is>
      </c>
    </row>
    <row r="5">
      <c r="A5" s="4" t="inlineStr">
        <is>
          <t>Курс USD/UAH</t>
        </is>
      </c>
      <c r="B5" s="5" t="n">
        <v>45</v>
      </c>
      <c r="C5" s="5" t="n">
        <v>47.5</v>
      </c>
      <c r="D5" s="5" t="n">
        <v>49.5</v>
      </c>
      <c r="E5" s="5" t="n">
        <v>51.5</v>
      </c>
      <c r="F5" s="6" t="inlineStr">
        <is>
          <t>НБУ серпень 2026</t>
        </is>
      </c>
    </row>
    <row r="6">
      <c r="A6" s="4" t="inlineStr">
        <is>
          <t>Робочих днів, польова бригада</t>
        </is>
      </c>
      <c r="B6" s="7" t="n">
        <v>230</v>
      </c>
      <c r="C6" s="7" t="n">
        <v>230</v>
      </c>
      <c r="D6" s="7" t="n">
        <v>230</v>
      </c>
      <c r="E6" s="7" t="n">
        <v>230</v>
      </c>
      <c r="F6" s="6" t="inlineStr">
        <is>
          <t>250 мінус відпустки/лікарняні</t>
        </is>
      </c>
    </row>
    <row r="7">
      <c r="A7" s="4" t="inlineStr">
        <is>
          <t>Робочих днів, бурова бригада</t>
        </is>
      </c>
      <c r="B7" s="7" t="n">
        <v>210</v>
      </c>
      <c r="C7" s="7" t="n">
        <v>210</v>
      </c>
      <c r="D7" s="7" t="n">
        <v>210</v>
      </c>
      <c r="E7" s="7" t="n">
        <v>210</v>
      </c>
      <c r="F7" s="6" t="inlineStr">
        <is>
          <t>сезонність, доступ на майданчики</t>
        </is>
      </c>
    </row>
    <row r="8">
      <c r="A8" s="4" t="inlineStr">
        <is>
          <t>Оплачуваних годин на IT-інженера</t>
        </is>
      </c>
      <c r="B8" s="7" t="n">
        <v>1459</v>
      </c>
      <c r="C8" s="7" t="n">
        <v>1459</v>
      </c>
      <c r="D8" s="7" t="n">
        <v>1459</v>
      </c>
      <c r="E8" s="7" t="n">
        <v>1459</v>
      </c>
      <c r="F8" s="6" t="inlineStr">
        <is>
          <t>1 780 x 82% utilization</t>
        </is>
      </c>
    </row>
    <row r="10">
      <c r="A10" s="1" t="inlineStr">
        <is>
          <t>A. ГЕОДЕЗИЧНА БРИГАДА — ринкова ціна і ДВІ структури витрат</t>
        </is>
      </c>
    </row>
    <row r="11" ht="30" customHeight="1">
      <c r="A11" s="3" t="inlineStr">
        <is>
          <t>Стаття</t>
        </is>
      </c>
      <c r="B11" s="3" t="inlineStr">
        <is>
          <t>«Важка» структура</t>
        </is>
      </c>
      <c r="C11" s="3" t="inlineStr">
        <is>
          <t>«Легка» структура</t>
        </is>
      </c>
      <c r="D11" s="3" t="inlineStr"/>
      <c r="E11" s="3" t="inlineStr"/>
      <c r="F11" s="3" t="inlineStr">
        <is>
          <t>Коментар</t>
        </is>
      </c>
    </row>
    <row r="12">
      <c r="A12" s="4" t="inlineStr">
        <is>
          <t>Денна ставка клієнту, грн</t>
        </is>
      </c>
      <c r="B12" s="8" t="n">
        <v>15000</v>
      </c>
      <c r="C12" s="8" t="n">
        <v>15000</v>
      </c>
      <c r="D12" s="6" t="inlineStr"/>
      <c r="E12" s="6" t="inlineStr"/>
      <c r="F12" s="6" t="inlineStr">
        <is>
          <t>ФАКТ власника, разом із камеральною обробкою</t>
        </is>
      </c>
    </row>
    <row r="13">
      <c r="A13" s="4" t="inlineStr">
        <is>
          <t>Utilization — поточний стан</t>
        </is>
      </c>
      <c r="B13" s="9" t="n">
        <v>0.62</v>
      </c>
      <c r="C13" s="9" t="n">
        <v>0.62</v>
      </c>
      <c r="D13" s="6" t="inlineStr"/>
      <c r="E13" s="6" t="inlineStr"/>
      <c r="F13" s="6" t="inlineStr"/>
    </row>
    <row r="14">
      <c r="A14" s="4" t="inlineStr">
        <is>
          <t>Utilization — цільовий</t>
        </is>
      </c>
      <c r="B14" s="9" t="n">
        <v>0.75</v>
      </c>
      <c r="C14" s="9" t="n">
        <v>0.75</v>
      </c>
      <c r="D14" s="6" t="inlineStr"/>
      <c r="E14" s="6" t="inlineStr"/>
      <c r="F14" s="6" t="inlineStr"/>
    </row>
    <row r="15">
      <c r="A15" s="4" t="inlineStr">
        <is>
          <t>ФОП бригади, грн/рік</t>
        </is>
      </c>
      <c r="B15" s="8" t="n">
        <v>984000</v>
      </c>
      <c r="C15" s="8" t="n">
        <v>840000</v>
      </c>
      <c r="D15" s="6" t="inlineStr"/>
      <c r="E15" s="6" t="inlineStr"/>
      <c r="F15" s="6" t="inlineStr">
        <is>
          <t>штат проти ФОП</t>
        </is>
      </c>
    </row>
    <row r="16">
      <c r="A16" s="4" t="inlineStr">
        <is>
          <t>Камеральна обробка, грн/рік</t>
        </is>
      </c>
      <c r="B16" s="8" t="n">
        <v>264000</v>
      </c>
      <c r="C16" s="8" t="n">
        <v>162000</v>
      </c>
      <c r="D16" s="6" t="inlineStr"/>
      <c r="E16" s="6" t="inlineStr"/>
      <c r="F16" s="6" t="inlineStr"/>
    </row>
    <row r="17">
      <c r="A17" s="4" t="inlineStr">
        <is>
          <t>Авто, грн/рік</t>
        </is>
      </c>
      <c r="B17" s="8" t="n">
        <v>264000</v>
      </c>
      <c r="C17" s="8" t="n">
        <v>180000</v>
      </c>
      <c r="D17" s="6" t="inlineStr"/>
      <c r="E17" s="6" t="inlineStr"/>
      <c r="F17" s="6" t="inlineStr">
        <is>
          <t>лізинг проти власного</t>
        </is>
      </c>
    </row>
    <row r="18">
      <c r="A18" s="4" t="inlineStr">
        <is>
          <t>Амортизація приладів, грн/рік</t>
        </is>
      </c>
      <c r="B18" s="8" t="n">
        <v>495000</v>
      </c>
      <c r="C18" s="8" t="n">
        <v>270000</v>
      </c>
      <c r="D18" s="6" t="inlineStr"/>
      <c r="E18" s="6" t="inlineStr"/>
      <c r="F18" s="6" t="inlineStr">
        <is>
          <t>нове $55к проти самортизованого</t>
        </is>
      </c>
    </row>
    <row r="19">
      <c r="A19" s="4" t="inlineStr">
        <is>
          <t>ПЗ, ліцензії, повірки, грн/рік</t>
        </is>
      </c>
      <c r="B19" s="8" t="n">
        <v>96000</v>
      </c>
      <c r="C19" s="8" t="n">
        <v>60000</v>
      </c>
      <c r="D19" s="6" t="inlineStr"/>
      <c r="E19" s="6" t="inlineStr"/>
      <c r="F19" s="6" t="inlineStr"/>
    </row>
    <row r="20">
      <c r="A20" s="4" t="inlineStr">
        <is>
          <t>Змінні на польовий день, грн</t>
        </is>
      </c>
      <c r="B20" s="8" t="n">
        <v>1400</v>
      </c>
      <c r="C20" s="8" t="n">
        <v>1200</v>
      </c>
      <c r="D20" s="6" t="inlineStr"/>
      <c r="E20" s="6" t="inlineStr"/>
      <c r="F20" s="6" t="inlineStr"/>
    </row>
    <row r="22">
      <c r="A22" s="1" t="inlineStr">
        <is>
          <t>B. БУРОВА БРИГАДА — ТРИ структури витрат</t>
        </is>
      </c>
    </row>
    <row r="23" ht="30" customHeight="1">
      <c r="A23" s="3" t="inlineStr">
        <is>
          <t>Стаття</t>
        </is>
      </c>
      <c r="B23" s="3" t="inlineStr">
        <is>
          <t>Повна (нова УРБ)</t>
        </is>
      </c>
      <c r="C23" s="3" t="inlineStr">
        <is>
          <t>Самортизована УРБ</t>
        </is>
      </c>
      <c r="D23" s="3" t="inlineStr">
        <is>
          <t>Мінімальна (2 особи)</t>
        </is>
      </c>
      <c r="E23" s="3" t="inlineStr"/>
      <c r="F23" s="3" t="inlineStr">
        <is>
          <t>Коментар</t>
        </is>
      </c>
    </row>
    <row r="24">
      <c r="A24" s="4" t="inlineStr">
        <is>
          <t>Денна ставка клієнту, грн</t>
        </is>
      </c>
      <c r="B24" s="8" t="n">
        <v>70000</v>
      </c>
      <c r="C24" s="8" t="n">
        <v>70000</v>
      </c>
      <c r="D24" s="8" t="n">
        <v>70000</v>
      </c>
      <c r="E24" s="6" t="inlineStr"/>
      <c r="F24" s="6" t="inlineStr">
        <is>
          <t>ФАКТ власника: буріння + лабораторія + звіт</t>
        </is>
      </c>
    </row>
    <row r="25">
      <c r="A25" s="4" t="inlineStr">
        <is>
          <t>ФОП бригади, грн/рік</t>
        </is>
      </c>
      <c r="B25" s="8" t="n">
        <v>1488000</v>
      </c>
      <c r="C25" s="8" t="n">
        <v>1488000</v>
      </c>
      <c r="D25" s="8" t="n">
        <v>1104000</v>
      </c>
      <c r="E25" s="6" t="inlineStr"/>
      <c r="F25" s="6" t="inlineStr">
        <is>
          <t>3 особи проти 2</t>
        </is>
      </c>
    </row>
    <row r="26">
      <c r="A26" s="4" t="inlineStr">
        <is>
          <t>Інженер-геолог + звіт, грн/рік</t>
        </is>
      </c>
      <c r="B26" s="8" t="n">
        <v>504000</v>
      </c>
      <c r="C26" s="8" t="n">
        <v>504000</v>
      </c>
      <c r="D26" s="8" t="n">
        <v>504000</v>
      </c>
      <c r="E26" s="6" t="inlineStr"/>
      <c r="F26" s="6" t="inlineStr"/>
    </row>
    <row r="27">
      <c r="A27" s="4" t="inlineStr">
        <is>
          <t>Амортизація/лізинг УРБ, грн/рік</t>
        </is>
      </c>
      <c r="B27" s="8" t="n">
        <v>675000</v>
      </c>
      <c r="C27" s="8" t="n">
        <v>0</v>
      </c>
      <c r="D27" s="8" t="n">
        <v>0</v>
      </c>
      <c r="E27" s="6" t="inlineStr"/>
      <c r="F27" s="6" t="inlineStr">
        <is>
          <t>$90к / 6 років проти списаної</t>
        </is>
      </c>
    </row>
    <row r="28">
      <c r="A28" s="4" t="inlineStr">
        <is>
          <t>Ремонт і ТО, грн/рік</t>
        </is>
      </c>
      <c r="B28" s="8" t="n">
        <v>240000</v>
      </c>
      <c r="C28" s="8" t="n">
        <v>240000</v>
      </c>
      <c r="D28" s="8" t="n">
        <v>240000</v>
      </c>
      <c r="E28" s="6" t="inlineStr"/>
      <c r="F28" s="6" t="inlineStr"/>
    </row>
    <row r="29">
      <c r="A29" s="4" t="inlineStr">
        <is>
          <t>ПЗ, дозволи, ліцензії, грн/рік</t>
        </is>
      </c>
      <c r="B29" s="8" t="n">
        <v>84000</v>
      </c>
      <c r="C29" s="8" t="n">
        <v>84000</v>
      </c>
      <c r="D29" s="8" t="n">
        <v>84000</v>
      </c>
      <c r="E29" s="6" t="inlineStr"/>
      <c r="F29" s="6" t="inlineStr"/>
    </row>
    <row r="30">
      <c r="A30" s="4" t="inlineStr">
        <is>
          <t>Змінні на день, грн</t>
        </is>
      </c>
      <c r="B30" s="8" t="n">
        <v>5000</v>
      </c>
      <c r="C30" s="8" t="n">
        <v>5000</v>
      </c>
      <c r="D30" s="8" t="n">
        <v>5000</v>
      </c>
      <c r="E30" s="6" t="inlineStr"/>
      <c r="F30" s="6" t="inlineStr"/>
    </row>
    <row r="31">
      <c r="A31" s="4" t="inlineStr">
        <is>
          <t>Лабораторія, % від виручки</t>
        </is>
      </c>
      <c r="B31" s="9" t="n">
        <v>0.12</v>
      </c>
      <c r="C31" s="9" t="n">
        <v>0.12</v>
      </c>
      <c r="D31" s="9" t="n">
        <v>0.12</v>
      </c>
      <c r="E31" s="6" t="inlineStr"/>
      <c r="F31" s="6" t="inlineStr"/>
    </row>
    <row r="33">
      <c r="A33" s="1" t="inlineStr">
        <is>
          <t>C. IT-ІНЖЕНЕР</t>
        </is>
      </c>
    </row>
    <row r="34" ht="30" customHeight="1">
      <c r="A34" s="3" t="inlineStr">
        <is>
          <t>Стаття</t>
        </is>
      </c>
      <c r="B34" s="3" t="inlineStr">
        <is>
          <t>Значення</t>
        </is>
      </c>
      <c r="C34" s="3" t="inlineStr">
        <is>
          <t>Од.</t>
        </is>
      </c>
      <c r="D34" s="3" t="inlineStr"/>
      <c r="E34" s="3" t="inlineStr"/>
      <c r="F34" s="3" t="inlineStr">
        <is>
          <t>Коментар</t>
        </is>
      </c>
    </row>
    <row r="35">
      <c r="A35" s="4" t="inlineStr">
        <is>
          <t>ЗП, cost-to-company</t>
        </is>
      </c>
      <c r="B35" s="8" t="n">
        <v>3100</v>
      </c>
      <c r="C35" s="6" t="inlineStr">
        <is>
          <t>$/міс</t>
        </is>
      </c>
      <c r="D35" s="6" t="inlineStr"/>
      <c r="E35" s="6" t="inlineStr"/>
      <c r="F35" s="6" t="inlineStr">
        <is>
          <t>ринок 2026: $1 000-5 500 за роллю</t>
        </is>
      </c>
    </row>
    <row r="36">
      <c r="A36" s="4" t="inlineStr">
        <is>
          <t>Податки, ЄСВ, адміністрування ФОП</t>
        </is>
      </c>
      <c r="B36" s="9" t="n">
        <v>0.06</v>
      </c>
      <c r="C36" s="6" t="inlineStr">
        <is>
          <t>% від ЗП</t>
        </is>
      </c>
      <c r="D36" s="6" t="inlineStr"/>
      <c r="E36" s="6" t="inlineStr"/>
      <c r="F36" s="6" t="inlineStr"/>
    </row>
    <row r="37">
      <c r="A37" s="4" t="inlineStr">
        <is>
          <t>Робоче місце, обладнання, ПЗ</t>
        </is>
      </c>
      <c r="B37" s="8" t="n">
        <v>450</v>
      </c>
      <c r="C37" s="6" t="inlineStr">
        <is>
          <t>$/міс</t>
        </is>
      </c>
      <c r="D37" s="6" t="inlineStr"/>
      <c r="E37" s="6" t="inlineStr"/>
      <c r="F37" s="6" t="inlineStr"/>
    </row>
    <row r="38">
      <c r="A38" s="4" t="inlineStr">
        <is>
          <t>Розподіл non-billable ролей</t>
        </is>
      </c>
      <c r="B38" s="9" t="n">
        <v>0.18</v>
      </c>
      <c r="C38" s="6" t="inlineStr">
        <is>
          <t>% від ЗП</t>
        </is>
      </c>
      <c r="D38" s="6" t="inlineStr"/>
      <c r="E38" s="6" t="inlineStr"/>
      <c r="F38" s="6" t="inlineStr"/>
    </row>
    <row r="40">
      <c r="A40" s="1" t="inlineStr">
        <is>
          <t>D. ПІДПИСКИ</t>
        </is>
      </c>
    </row>
    <row r="41" ht="30" customHeight="1">
      <c r="A41" s="3" t="inlineStr">
        <is>
          <t>Модель</t>
        </is>
      </c>
      <c r="B41" s="3" t="inlineStr">
        <is>
          <t>ARPA $/рік</t>
        </is>
      </c>
      <c r="C41" s="3" t="inlineStr">
        <is>
          <t>Gross margin</t>
        </is>
      </c>
      <c r="D41" s="3" t="inlineStr">
        <is>
          <t>CAC $</t>
        </is>
      </c>
      <c r="E41" s="3" t="inlineStr">
        <is>
          <t>Річний churn</t>
        </is>
      </c>
      <c r="F41" s="3" t="inlineStr">
        <is>
          <t>Коментар</t>
        </is>
      </c>
    </row>
    <row r="42">
      <c r="A42" s="4" t="inlineStr">
        <is>
          <t>D1 SaaS — мережі й інфраструктурні активи</t>
        </is>
      </c>
      <c r="B42" s="8" t="n">
        <v>14000</v>
      </c>
      <c r="C42" s="9" t="n">
        <v>0.78</v>
      </c>
      <c r="D42" s="8" t="n">
        <v>8500</v>
      </c>
      <c r="E42" s="9" t="n">
        <v>0.12</v>
      </c>
      <c r="F42" s="6" t="inlineStr">
        <is>
          <t>увага: CloudCity уже у водоканалах</t>
        </is>
      </c>
    </row>
    <row r="43">
      <c r="A43" s="4" t="inlineStr">
        <is>
          <t>D2 DaaS-моніторинг обʼєкта</t>
        </is>
      </c>
      <c r="B43" s="8" t="n">
        <v>6670</v>
      </c>
      <c r="C43" s="9" t="n">
        <v>0.72</v>
      </c>
      <c r="D43" s="8" t="n">
        <v>1800</v>
      </c>
      <c r="E43" s="9" t="n">
        <v>0.2</v>
      </c>
      <c r="F43" s="6" t="inlineStr">
        <is>
          <t>продається наявним клієнтам геодезії</t>
        </is>
      </c>
    </row>
    <row r="44">
      <c r="A44" s="4" t="inlineStr">
        <is>
          <t>D3 Агро-продукт</t>
        </is>
      </c>
      <c r="B44" s="8" t="n">
        <v>9000</v>
      </c>
      <c r="C44" s="9" t="n">
        <v>0.7</v>
      </c>
      <c r="D44" s="8" t="n">
        <v>16000</v>
      </c>
      <c r="E44" s="9" t="n">
        <v>0.22</v>
      </c>
      <c r="F44" s="6" t="inlineStr">
        <is>
          <t>Cropio, OneSoil, Soft.Farm — ринок зайнятий</t>
        </is>
      </c>
    </row>
  </sheetData>
  <mergeCells count="5">
    <mergeCell ref="A10:H10"/>
    <mergeCell ref="A33:H33"/>
    <mergeCell ref="A1:H1"/>
    <mergeCell ref="A22:H22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1" t="inlineStr">
        <is>
          <t>ЮНІТ-ЕКОНОМІКА — усе рахується з аркуша «1.Припущення»</t>
        </is>
      </c>
    </row>
    <row r="3">
      <c r="A3" s="1" t="inlineStr">
        <is>
          <t>A. ГЕОДЕЗІЯ: та сама ринкова ціна, дві структури витрат</t>
        </is>
      </c>
    </row>
    <row r="4" ht="30" customHeight="1">
      <c r="A4" s="3" t="inlineStr">
        <is>
          <t>Показник</t>
        </is>
      </c>
      <c r="B4" s="3" t="inlineStr">
        <is>
          <t>«Важка»</t>
        </is>
      </c>
      <c r="C4" s="3" t="inlineStr">
        <is>
          <t>«Легка»</t>
        </is>
      </c>
      <c r="D4" s="3" t="inlineStr"/>
      <c r="E4" s="3" t="inlineStr"/>
      <c r="F4" s="3" t="inlineStr"/>
      <c r="G4" s="3" t="inlineStr"/>
    </row>
    <row r="5">
      <c r="A5" s="4" t="inlineStr">
        <is>
          <t>Фіксовані витрати, грн/рік</t>
        </is>
      </c>
      <c r="B5" s="10">
        <f>('1.Припущення'!B15+'1.Припущення'!B16+'1.Припущення'!B17+'1.Припущення'!B18+'1.Припущення'!B19)</f>
        <v/>
      </c>
      <c r="C5" s="10">
        <f>('1.Припущення'!C15+'1.Припущення'!C16+'1.Припущення'!C17+'1.Припущення'!C18+'1.Припущення'!C19)</f>
        <v/>
      </c>
    </row>
    <row r="6">
      <c r="A6" s="4" t="inlineStr">
        <is>
          <t>Точка беззбитковості, днів</t>
        </is>
      </c>
      <c r="B6" s="11">
        <f>('1.Припущення'!B15+'1.Припущення'!B16+'1.Припущення'!B17+'1.Припущення'!B18+'1.Припущення'!B19)/('1.Припущення'!B12-'1.Припущення'!B20)</f>
        <v/>
      </c>
      <c r="C6" s="11">
        <f>('1.Припущення'!C15+'1.Припущення'!C16+'1.Припущення'!C17+'1.Припущення'!C18+'1.Припущення'!C19)/('1.Припущення'!B12-'1.Припущення'!C20)</f>
        <v/>
      </c>
    </row>
    <row r="7">
      <c r="A7" s="4" t="inlineStr">
        <is>
          <t>Точка беззбитковості, % utilization</t>
        </is>
      </c>
      <c r="B7" s="12">
        <f>B6/'1.Припущення'!B6</f>
        <v/>
      </c>
      <c r="C7" s="12">
        <f>C6/'1.Припущення'!B6</f>
        <v/>
      </c>
    </row>
    <row r="8">
      <c r="A8" s="4" t="inlineStr">
        <is>
          <t>@62%: виручка</t>
        </is>
      </c>
      <c r="B8" s="10">
        <f>'1.Припущення'!B6*'1.Припущення'!B13*'1.Припущення'!B12</f>
        <v/>
      </c>
      <c r="C8" s="10">
        <f>'1.Припущення'!B6*'1.Припущення'!B13*'1.Припущення'!B12</f>
        <v/>
      </c>
    </row>
    <row r="9">
      <c r="A9" s="4" t="inlineStr">
        <is>
          <t>@62%: витрати</t>
        </is>
      </c>
      <c r="B9" s="10">
        <f>('1.Припущення'!B15+'1.Припущення'!B16+'1.Припущення'!B17+'1.Припущення'!B18+'1.Припущення'!B19)+'1.Припущення'!B6*'1.Припущення'!B13*'1.Припущення'!B20</f>
        <v/>
      </c>
      <c r="C9" s="10">
        <f>('1.Припущення'!C15+'1.Припущення'!C16+'1.Припущення'!C17+'1.Припущення'!C18+'1.Припущення'!C19)+'1.Припущення'!B6*'1.Припущення'!B13*'1.Припущення'!C20</f>
        <v/>
      </c>
    </row>
    <row r="10">
      <c r="A10" s="13" t="inlineStr">
        <is>
          <t>@62%: ВАЛОВИЙ ПРИБУТОК</t>
        </is>
      </c>
      <c r="B10" s="14">
        <f>B8-B9</f>
        <v/>
      </c>
      <c r="C10" s="15">
        <f>C8-C9</f>
        <v/>
      </c>
    </row>
    <row r="11">
      <c r="A11" s="4" t="inlineStr">
        <is>
          <t>@62%: GM</t>
        </is>
      </c>
      <c r="B11" s="16">
        <f>B10/B8</f>
        <v/>
      </c>
      <c r="C11" s="17">
        <f>C10/C8</f>
        <v/>
      </c>
    </row>
    <row r="12">
      <c r="A12" s="4" t="inlineStr">
        <is>
          <t>@75%: виручка</t>
        </is>
      </c>
      <c r="B12" s="10">
        <f>'1.Припущення'!B6*'1.Припущення'!B14*'1.Припущення'!B12</f>
        <v/>
      </c>
      <c r="C12" s="10">
        <f>'1.Припущення'!B6*'1.Припущення'!B14*'1.Припущення'!B12</f>
        <v/>
      </c>
    </row>
    <row r="13">
      <c r="A13" s="4" t="inlineStr">
        <is>
          <t>@75%: витрати</t>
        </is>
      </c>
      <c r="B13" s="10">
        <f>('1.Припущення'!B15+'1.Припущення'!B16+'1.Припущення'!B17+'1.Припущення'!B18+'1.Припущення'!B19)+'1.Припущення'!B6*'1.Припущення'!B14*'1.Припущення'!B20</f>
        <v/>
      </c>
      <c r="C13" s="10">
        <f>('1.Припущення'!C15+'1.Припущення'!C16+'1.Припущення'!C17+'1.Припущення'!C18+'1.Припущення'!C19)+'1.Припущення'!B6*'1.Припущення'!B14*'1.Припущення'!C20</f>
        <v/>
      </c>
    </row>
    <row r="14">
      <c r="A14" s="13" t="inlineStr">
        <is>
          <t>@75%: ВАЛОВИЙ ПРИБУТОК</t>
        </is>
      </c>
      <c r="B14" s="14">
        <f>B12-B13</f>
        <v/>
      </c>
      <c r="C14" s="15">
        <f>C12-C13</f>
        <v/>
      </c>
    </row>
    <row r="15">
      <c r="A15" s="4" t="inlineStr">
        <is>
          <t>@75%: GM</t>
        </is>
      </c>
      <c r="B15" s="16">
        <f>B14/B12</f>
        <v/>
      </c>
      <c r="C15" s="17">
        <f>C14/C12</f>
        <v/>
      </c>
    </row>
    <row r="16">
      <c r="A16" s="18" t="inlineStr">
        <is>
          <t>Різниця «легка» − «важка» при 62% завантаження, грн/рік</t>
        </is>
      </c>
      <c r="B16" s="19">
        <f>C10-B10</f>
        <v/>
      </c>
    </row>
    <row r="19">
      <c r="A19" s="1" t="inlineStr">
        <is>
          <t>B. ГЕОЛОГІЯ: за якої ставки бригада виходить у нуль?</t>
        </is>
      </c>
    </row>
    <row r="20" ht="30" customHeight="1">
      <c r="A20" s="3" t="inlineStr">
        <is>
          <t>Ставка, грн/бригадо-день</t>
        </is>
      </c>
      <c r="B20" s="3" t="inlineStr">
        <is>
          <t>Внесок на день</t>
        </is>
      </c>
      <c r="C20" s="3" t="inlineStr">
        <is>
          <t>Повна (нова УРБ)</t>
        </is>
      </c>
      <c r="D20" s="3" t="inlineStr">
        <is>
          <t>Самортизована УРБ</t>
        </is>
      </c>
      <c r="E20" s="3" t="inlineStr">
        <is>
          <t>Мінімальна (2 особи)</t>
        </is>
      </c>
      <c r="F20" s="3" t="inlineStr"/>
      <c r="G20" s="3" t="inlineStr"/>
    </row>
    <row r="21">
      <c r="A21" s="8" t="n">
        <v>40000</v>
      </c>
      <c r="B21" s="10">
        <f>A21-'1.Припущення'!B30-A21*'1.Припущення'!B31</f>
        <v/>
      </c>
      <c r="C21" s="20">
        <f>('1.Припущення'!B25+'1.Припущення'!B26+'1.Припущення'!B27+'1.Припущення'!B28+'1.Припущення'!B29)/$B$21</f>
        <v/>
      </c>
      <c r="D21" s="20">
        <f>('1.Припущення'!C25+'1.Припущення'!C26+'1.Припущення'!C27+'1.Припущення'!C28+'1.Припущення'!C29)/$B$21</f>
        <v/>
      </c>
      <c r="E21" s="20">
        <f>('1.Припущення'!D25+'1.Припущення'!D26+'1.Припущення'!D27+'1.Припущення'!D28+'1.Припущення'!D29)/$B$21</f>
        <v/>
      </c>
    </row>
    <row r="22">
      <c r="A22" s="8" t="n">
        <v>55000</v>
      </c>
      <c r="B22" s="10">
        <f>A22-'1.Припущення'!B30-A22*'1.Припущення'!B31</f>
        <v/>
      </c>
      <c r="C22" s="20">
        <f>('1.Припущення'!B25+'1.Припущення'!B26+'1.Припущення'!B27+'1.Припущення'!B28+'1.Припущення'!B29)/$B$22</f>
        <v/>
      </c>
      <c r="D22" s="20">
        <f>('1.Припущення'!C25+'1.Припущення'!C26+'1.Припущення'!C27+'1.Припущення'!C28+'1.Припущення'!C29)/$B$22</f>
        <v/>
      </c>
      <c r="E22" s="20">
        <f>('1.Припущення'!D25+'1.Припущення'!D26+'1.Припущення'!D27+'1.Припущення'!D28+'1.Припущення'!D29)/$B$22</f>
        <v/>
      </c>
    </row>
    <row r="23">
      <c r="A23" s="15" t="n">
        <v>70000</v>
      </c>
      <c r="B23" s="10">
        <f>A23-'1.Припущення'!B30-A23*'1.Припущення'!B31</f>
        <v/>
      </c>
      <c r="C23" s="20">
        <f>('1.Припущення'!B25+'1.Припущення'!B26+'1.Припущення'!B27+'1.Припущення'!B28+'1.Припущення'!B29)/$B$23</f>
        <v/>
      </c>
      <c r="D23" s="20">
        <f>('1.Припущення'!C25+'1.Припущення'!C26+'1.Припущення'!C27+'1.Припущення'!C28+'1.Припущення'!C29)/$B$23</f>
        <v/>
      </c>
      <c r="E23" s="20">
        <f>('1.Припущення'!D25+'1.Припущення'!D26+'1.Припущення'!D27+'1.Припущення'!D28+'1.Припущення'!D29)/$B$23</f>
        <v/>
      </c>
    </row>
    <row r="24">
      <c r="A24" s="8" t="n">
        <v>85000</v>
      </c>
      <c r="B24" s="10">
        <f>A24-'1.Припущення'!B30-A24*'1.Припущення'!B31</f>
        <v/>
      </c>
      <c r="C24" s="20">
        <f>('1.Припущення'!B25+'1.Припущення'!B26+'1.Припущення'!B27+'1.Припущення'!B28+'1.Припущення'!B29)/$B$24</f>
        <v/>
      </c>
      <c r="D24" s="20">
        <f>('1.Припущення'!C25+'1.Припущення'!C26+'1.Припущення'!C27+'1.Припущення'!C28+'1.Припущення'!C29)/$B$24</f>
        <v/>
      </c>
      <c r="E24" s="20">
        <f>('1.Припущення'!D25+'1.Припущення'!D26+'1.Припущення'!D27+'1.Припущення'!D28+'1.Припущення'!D29)/$B$24</f>
        <v/>
      </c>
    </row>
    <row r="25">
      <c r="A25" s="18" t="inlineStr">
        <is>
          <t>Доступних робочих днів на рік →</t>
        </is>
      </c>
      <c r="B25" s="21">
        <f>'1.Припущення'!B7</f>
        <v/>
      </c>
    </row>
    <row r="26">
      <c r="A26" s="2" t="inlineStr">
        <is>
          <t>Читати так: якщо число днів БІЛЬШЕ за 210 — беззбитковість недосяжна за жодного завантаження.</t>
        </is>
      </c>
    </row>
    <row r="27">
      <c r="A27" s="22" t="inlineStr">
        <is>
          <t>За фактичною ставкою 70 000 грн бригада виходить у нуль на 53 дні (25% завантаження) навіть із новою УРБ у лізингу.</t>
        </is>
      </c>
    </row>
    <row r="30">
      <c r="A30" s="1" t="inlineStr">
        <is>
          <t>B2. ГЕОЛОГІЯ: результат за завантаженням (повна структура витрат)</t>
        </is>
      </c>
    </row>
    <row r="31" ht="30" customHeight="1">
      <c r="A31" s="3" t="inlineStr">
        <is>
          <t>Utilization</t>
        </is>
      </c>
      <c r="B31" s="3" t="inlineStr">
        <is>
          <t>Оплач. днів</t>
        </is>
      </c>
      <c r="C31" s="3" t="inlineStr">
        <is>
          <t>Виручка</t>
        </is>
      </c>
      <c r="D31" s="3" t="inlineStr">
        <is>
          <t>Витрати</t>
        </is>
      </c>
      <c r="E31" s="3" t="inlineStr">
        <is>
          <t>ВАЛОВИЙ ПРИБУТОК</t>
        </is>
      </c>
      <c r="F31" s="3" t="inlineStr">
        <is>
          <t>GM</t>
        </is>
      </c>
      <c r="G31" s="3" t="inlineStr">
        <is>
          <t>ВП на 1 FTE, $</t>
        </is>
      </c>
    </row>
    <row r="32">
      <c r="A32" s="9" t="n">
        <v>0.45</v>
      </c>
      <c r="B32" s="20">
        <f>'1.Припущення'!B7*A32</f>
        <v/>
      </c>
      <c r="C32" s="23">
        <f>B32*'1.Припущення'!B24</f>
        <v/>
      </c>
      <c r="D32" s="23">
        <f>('1.Припущення'!B25+'1.Припущення'!B26+'1.Припущення'!B27+'1.Припущення'!B28+'1.Припущення'!B29)+B32*'1.Припущення'!B30+C32*'1.Припущення'!B31</f>
        <v/>
      </c>
      <c r="E32" s="15">
        <f>C32-D32</f>
        <v/>
      </c>
      <c r="F32" s="24">
        <f>E32/C32</f>
        <v/>
      </c>
      <c r="G32" s="23">
        <f>E32/3.6/'1.Припущення'!B5</f>
        <v/>
      </c>
    </row>
    <row r="33">
      <c r="A33" s="9" t="n">
        <v>0.55</v>
      </c>
      <c r="B33" s="20">
        <f>'1.Припущення'!B7*A33</f>
        <v/>
      </c>
      <c r="C33" s="23">
        <f>B33*'1.Припущення'!B24</f>
        <v/>
      </c>
      <c r="D33" s="23">
        <f>('1.Припущення'!B25+'1.Припущення'!B26+'1.Припущення'!B27+'1.Припущення'!B28+'1.Припущення'!B29)+B33*'1.Припущення'!B30+C33*'1.Припущення'!B31</f>
        <v/>
      </c>
      <c r="E33" s="15">
        <f>C33-D33</f>
        <v/>
      </c>
      <c r="F33" s="24">
        <f>E33/C33</f>
        <v/>
      </c>
      <c r="G33" s="23">
        <f>E33/3.6/'1.Припущення'!B5</f>
        <v/>
      </c>
    </row>
    <row r="34">
      <c r="A34" s="9" t="n">
        <v>0.7</v>
      </c>
      <c r="B34" s="20">
        <f>'1.Припущення'!B7*A34</f>
        <v/>
      </c>
      <c r="C34" s="23">
        <f>B34*'1.Припущення'!B24</f>
        <v/>
      </c>
      <c r="D34" s="23">
        <f>('1.Припущення'!B25+'1.Припущення'!B26+'1.Припущення'!B27+'1.Припущення'!B28+'1.Припущення'!B29)+B34*'1.Припущення'!B30+C34*'1.Припущення'!B31</f>
        <v/>
      </c>
      <c r="E34" s="15">
        <f>C34-D34</f>
        <v/>
      </c>
      <c r="F34" s="24">
        <f>E34/C34</f>
        <v/>
      </c>
      <c r="G34" s="23">
        <f>E34/3.6/'1.Припущення'!B5</f>
        <v/>
      </c>
    </row>
    <row r="35">
      <c r="A35" s="9" t="n">
        <v>0.8</v>
      </c>
      <c r="B35" s="20">
        <f>'1.Припущення'!B7*A35</f>
        <v/>
      </c>
      <c r="C35" s="23">
        <f>B35*'1.Припущення'!B24</f>
        <v/>
      </c>
      <c r="D35" s="23">
        <f>('1.Припущення'!B25+'1.Припущення'!B26+'1.Припущення'!B27+'1.Припущення'!B28+'1.Припущення'!B29)+B35*'1.Припущення'!B30+C35*'1.Припущення'!B31</f>
        <v/>
      </c>
      <c r="E35" s="15">
        <f>C35-D35</f>
        <v/>
      </c>
      <c r="F35" s="24">
        <f>E35/C35</f>
        <v/>
      </c>
      <c r="G35" s="23">
        <f>E35/3.6/'1.Припущення'!B5</f>
        <v/>
      </c>
    </row>
    <row r="38">
      <c r="A38" s="1" t="inlineStr">
        <is>
          <t>C. IT-ІНЖЕНЕР — собівартість оплачуваної години</t>
        </is>
      </c>
    </row>
    <row r="39">
      <c r="A39" s="18" t="inlineStr">
        <is>
          <t>Повна вартість інженера, $/рік</t>
        </is>
      </c>
      <c r="B39" s="25">
        <f>'1.Припущення'!B35*12*(1+'1.Припущення'!B36+'1.Припущення'!B38)+'1.Припущення'!B37*12</f>
        <v/>
      </c>
    </row>
    <row r="40">
      <c r="A40" s="18" t="inlineStr">
        <is>
          <t>Собівартість 1 оплачуваної години, $</t>
        </is>
      </c>
      <c r="B40" s="26">
        <f>$B$39/'1.Припущення'!B8</f>
        <v/>
      </c>
    </row>
    <row r="41" ht="30" customHeight="1">
      <c r="A41" s="3" t="inlineStr">
        <is>
          <t>Ринок збуту (тільки внутрішній)</t>
        </is>
      </c>
      <c r="B41" s="3" t="inlineStr">
        <is>
          <t>Ставка $/год</t>
        </is>
      </c>
      <c r="C41" s="3" t="inlineStr">
        <is>
          <t>ВП $/год</t>
        </is>
      </c>
      <c r="D41" s="3" t="inlineStr">
        <is>
          <t>GM</t>
        </is>
      </c>
      <c r="E41" s="3" t="inlineStr">
        <is>
          <t>ВП на інженера $/рік</t>
        </is>
      </c>
      <c r="F41" s="3" t="inlineStr"/>
      <c r="G41" s="3" t="inlineStr"/>
    </row>
    <row r="42">
      <c r="A42" s="4" t="inlineStr">
        <is>
          <t>Внутрішній UA, T&amp;M, сеньйорна команда</t>
        </is>
      </c>
      <c r="B42" s="7" t="n">
        <v>26</v>
      </c>
      <c r="C42" s="27">
        <f>B42-$B$40</f>
        <v/>
      </c>
      <c r="D42" s="16">
        <f>C42/B42</f>
        <v/>
      </c>
      <c r="E42" s="28">
        <f>C42*'1.Припущення'!B8</f>
        <v/>
      </c>
      <c r="F42" s="29" t="inlineStr">
        <is>
          <t>збиткова модель</t>
        </is>
      </c>
    </row>
    <row r="43">
      <c r="A43" s="4" t="inlineStr">
        <is>
          <t>Внутрішній UA, держ- і донорські проєкти</t>
        </is>
      </c>
      <c r="B43" s="7" t="n">
        <v>38</v>
      </c>
      <c r="C43" s="27">
        <f>B43-$B$40</f>
        <v/>
      </c>
      <c r="D43" s="16">
        <f>C43/B43</f>
        <v/>
      </c>
      <c r="E43" s="28">
        <f>C43*'1.Припущення'!B8</f>
        <v/>
      </c>
      <c r="F43" s="29" t="inlineStr">
        <is>
          <t>на межі нуля</t>
        </is>
      </c>
    </row>
    <row r="44">
      <c r="A44" s="2" t="inlineStr">
        <is>
          <t>Експортні ставки вилучено з моделі на вимогу власника.</t>
        </is>
      </c>
    </row>
    <row r="46">
      <c r="A46" s="1" t="inlineStr">
        <is>
          <t>D. ПІДПИСКИ — єдина модель, що дає маржу на внутрішньому ринку</t>
        </is>
      </c>
    </row>
    <row r="47" ht="30" customHeight="1">
      <c r="A47" s="3" t="inlineStr">
        <is>
          <t>Модель</t>
        </is>
      </c>
      <c r="B47" s="3" t="inlineStr">
        <is>
          <t>LTV $</t>
        </is>
      </c>
      <c r="C47" s="3" t="inlineStr">
        <is>
          <t>LTV / CAC</t>
        </is>
      </c>
      <c r="D47" s="3" t="inlineStr">
        <is>
          <t>CAC payback, міс</t>
        </is>
      </c>
      <c r="E47" s="3" t="inlineStr">
        <is>
          <t>Клієнтів до беззбитковості</t>
        </is>
      </c>
      <c r="F47" s="3" t="inlineStr">
        <is>
          <t>Вердикт</t>
        </is>
      </c>
      <c r="G47" s="3" t="inlineStr"/>
    </row>
    <row r="48">
      <c r="A48" s="4" t="inlineStr">
        <is>
          <t>D1 SaaS — мережі й інфраструктура</t>
        </is>
      </c>
      <c r="B48" s="23">
        <f>'1.Припущення'!B42*'1.Припущення'!C42/'1.Припущення'!E42</f>
        <v/>
      </c>
      <c r="C48" s="30">
        <f>B48/'1.Припущення'!D42</f>
        <v/>
      </c>
      <c r="D48" s="30">
        <f>'1.Припущення'!D42/('1.Припущення'!B42*'1.Припущення'!C42/12)</f>
        <v/>
      </c>
      <c r="E48" s="20">
        <f>(8*$B$39+60000)/('1.Припущення'!B42*'1.Припущення'!C42)</f>
        <v/>
      </c>
      <c r="F48" s="31" t="inlineStr">
        <is>
          <t>ІНВЕСТУВАТИ</t>
        </is>
      </c>
    </row>
    <row r="49">
      <c r="A49" s="4" t="inlineStr">
        <is>
          <t>D2 DaaS-моніторинг обʼєкта</t>
        </is>
      </c>
      <c r="B49" s="23">
        <f>'1.Припущення'!B43*'1.Припущення'!C43/'1.Припущення'!E43</f>
        <v/>
      </c>
      <c r="C49" s="30">
        <f>B49/'1.Припущення'!D43</f>
        <v/>
      </c>
      <c r="D49" s="30">
        <f>'1.Припущення'!D43/('1.Припущення'!B43*'1.Припущення'!C43/12)</f>
        <v/>
      </c>
      <c r="E49" s="20">
        <f>(3*$B$39+20000)/('1.Припущення'!B43*'1.Припущення'!C43)</f>
        <v/>
      </c>
      <c r="F49" s="31" t="inlineStr">
        <is>
          <t>ІНВЕСТУВАТИ</t>
        </is>
      </c>
    </row>
    <row r="50">
      <c r="A50" s="4" t="inlineStr">
        <is>
          <t>D3 Агро-продукт</t>
        </is>
      </c>
      <c r="B50" s="28">
        <f>'1.Припущення'!B44*'1.Припущення'!C44/'1.Припущення'!E44</f>
        <v/>
      </c>
      <c r="C50" s="27">
        <f>B50/'1.Припущення'!D44</f>
        <v/>
      </c>
      <c r="D50" s="27">
        <f>'1.Припущення'!D44/('1.Припущення'!B44*'1.Припущення'!C44/12)</f>
        <v/>
      </c>
      <c r="E50" s="32">
        <f>(8*$B$39+60000)/('1.Припущення'!B44*'1.Припущення'!C44)</f>
        <v/>
      </c>
      <c r="F50" s="29" t="inlineStr">
        <is>
          <t>НІ — payback 30 міс</t>
        </is>
      </c>
    </row>
    <row r="51">
      <c r="A51" s="2" t="inlineStr">
        <is>
          <t>Орієнтир здорової моделі: LTV/CAC &gt; 3, payback &lt; 12 міс.</t>
        </is>
      </c>
    </row>
  </sheetData>
  <mergeCells count="6">
    <mergeCell ref="A3:H3"/>
    <mergeCell ref="A30:H30"/>
    <mergeCell ref="A1:G1"/>
    <mergeCell ref="A38:H38"/>
    <mergeCell ref="A19:H19"/>
    <mergeCell ref="A46:H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7" customWidth="1" min="9" max="9"/>
    <col width="9" customWidth="1" min="10" max="10"/>
    <col width="7" customWidth="1" min="11" max="11"/>
    <col width="34" customWidth="1" min="12" max="12"/>
  </cols>
  <sheetData>
    <row r="1">
      <c r="A1" s="1" t="inlineStr">
        <is>
          <t>ВНУТРІШНІЙ РИНОК: TAM / SAM / SOM 2026-2029, млн грн (експорт вилучено)</t>
        </is>
      </c>
    </row>
    <row r="2">
      <c r="A2" s="2" t="inlineStr">
        <is>
          <t>FTE — скільки людей потрібно, щоб узяти цей SOM у 2029. Темпи знижено після даних Держстату за січень-квітень 2026 (−2% р/р).</t>
        </is>
      </c>
    </row>
    <row r="4" ht="30" customHeight="1">
      <c r="A4" s="3" t="inlineStr">
        <is>
          <t>Ринок</t>
        </is>
      </c>
      <c r="B4" s="3" t="inlineStr">
        <is>
          <t>TAM 2026</t>
        </is>
      </c>
      <c r="C4" s="3" t="inlineStr">
        <is>
          <t>TAM 2027</t>
        </is>
      </c>
      <c r="D4" s="3" t="inlineStr">
        <is>
          <t>TAM 2028</t>
        </is>
      </c>
      <c r="E4" s="3" t="inlineStr">
        <is>
          <t>TAM 2029</t>
        </is>
      </c>
      <c r="F4" s="3" t="inlineStr">
        <is>
          <t>SAM 2029</t>
        </is>
      </c>
      <c r="G4" s="3" t="inlineStr">
        <is>
          <t>SOM 2026</t>
        </is>
      </c>
      <c r="H4" s="3" t="inlineStr">
        <is>
          <t>SOM 2029</t>
        </is>
      </c>
      <c r="I4" s="3" t="inlineStr">
        <is>
          <t>GM</t>
        </is>
      </c>
      <c r="J4" s="3" t="inlineStr">
        <is>
          <t>ВП 2029</t>
        </is>
      </c>
      <c r="K4" s="3" t="inlineStr">
        <is>
          <t>FTE</t>
        </is>
      </c>
      <c r="L4" s="3" t="inlineStr">
        <is>
          <t>Драйвер / гальмо</t>
        </is>
      </c>
    </row>
    <row r="5">
      <c r="A5" s="31" t="inlineStr">
        <is>
          <t>R4  ІТ-розробка для індустрій</t>
        </is>
      </c>
      <c r="B5" s="23" t="n">
        <v>3226</v>
      </c>
      <c r="C5" s="23" t="n">
        <v>3871</v>
      </c>
      <c r="D5" s="23" t="n">
        <v>4645</v>
      </c>
      <c r="E5" s="23" t="n">
        <v>5570</v>
      </c>
      <c r="F5" s="23" t="n">
        <v>1392</v>
      </c>
      <c r="G5" s="23" t="n">
        <v>17</v>
      </c>
      <c r="H5" s="23" t="n">
        <v>95</v>
      </c>
      <c r="I5" s="17" t="n">
        <v>0.58</v>
      </c>
      <c r="J5" s="23">
        <f>H5*I5</f>
        <v/>
      </c>
      <c r="K5" s="20" t="n">
        <v>28</v>
      </c>
      <c r="L5" s="4" t="inlineStr">
        <is>
          <t>двигун зростання; ядро — мережі. ROIC 957%</t>
        </is>
      </c>
    </row>
    <row r="6">
      <c r="A6" s="31" t="inlineStr">
        <is>
          <t>R2  Інженерна геологія</t>
        </is>
      </c>
      <c r="B6" s="23" t="n">
        <v>2410</v>
      </c>
      <c r="C6" s="23" t="n">
        <v>2579</v>
      </c>
      <c r="D6" s="23" t="n">
        <v>2785</v>
      </c>
      <c r="E6" s="23" t="n">
        <v>2980</v>
      </c>
      <c r="F6" s="23" t="n">
        <v>894</v>
      </c>
      <c r="G6" s="23" t="n">
        <v>27</v>
      </c>
      <c r="H6" s="23" t="n">
        <v>74</v>
      </c>
      <c r="I6" s="17" t="n">
        <v>0.52</v>
      </c>
      <c r="J6" s="23">
        <f>H6*I6</f>
        <v/>
      </c>
      <c r="K6" s="20" t="n">
        <v>26</v>
      </c>
      <c r="L6" s="4" t="inlineStr">
        <is>
          <t>грошова корова: LTV/CAC 39, payback 0,9 міс</t>
        </is>
      </c>
    </row>
    <row r="7">
      <c r="A7" s="31" t="inlineStr">
        <is>
          <t>R3  Лазерне сканування та BIM</t>
        </is>
      </c>
      <c r="B7" s="23" t="n">
        <v>400</v>
      </c>
      <c r="C7" s="23" t="n">
        <v>560</v>
      </c>
      <c r="D7" s="23" t="n">
        <v>784</v>
      </c>
      <c r="E7" s="23" t="n">
        <v>1058</v>
      </c>
      <c r="F7" s="23" t="n">
        <v>476</v>
      </c>
      <c r="G7" s="23" t="n">
        <v>0</v>
      </c>
      <c r="H7" s="23" t="n">
        <v>40</v>
      </c>
      <c r="I7" s="17" t="n">
        <v>0.55</v>
      </c>
      <c r="J7" s="23">
        <f>H7*I7</f>
        <v/>
      </c>
      <c r="K7" s="20" t="n">
        <v>20</v>
      </c>
      <c r="L7" s="4" t="inlineStr">
        <is>
          <t>НОВИЙ: CAGR 38% на регуляторному примусі (BIM у ДБН)</t>
        </is>
      </c>
    </row>
    <row r="8">
      <c r="A8" s="29" t="inlineStr">
        <is>
          <t>R1  Топографія</t>
        </is>
      </c>
      <c r="B8" s="28" t="n">
        <v>2860</v>
      </c>
      <c r="C8" s="28" t="n">
        <v>3089</v>
      </c>
      <c r="D8" s="28" t="n">
        <v>3367</v>
      </c>
      <c r="E8" s="28" t="n">
        <v>3636</v>
      </c>
      <c r="F8" s="28" t="n">
        <v>1236</v>
      </c>
      <c r="G8" s="28" t="n">
        <v>20</v>
      </c>
      <c r="H8" s="28" t="n">
        <v>16</v>
      </c>
      <c r="I8" s="16" t="n">
        <v>0.26</v>
      </c>
      <c r="J8" s="28">
        <f>H8*I8</f>
        <v/>
      </c>
      <c r="K8" s="32" t="n">
        <v>15</v>
      </c>
      <c r="L8" s="4" t="inlineStr">
        <is>
          <t>канал, не зростання: $5 452 на людину, конкуренція макс.</t>
        </is>
      </c>
    </row>
    <row r="10">
      <c r="A10" s="33" t="inlineStr">
        <is>
          <t xml:space="preserve">  R4 ізсередини — вертикалі:</t>
        </is>
      </c>
    </row>
    <row r="11">
      <c r="A11" s="31" t="inlineStr">
        <is>
          <t xml:space="preserve">  Мережі й комунальна інфраструктура</t>
        </is>
      </c>
      <c r="B11" s="23" t="n">
        <v>950</v>
      </c>
      <c r="C11" s="23" t="n">
        <v>1159</v>
      </c>
      <c r="D11" s="23" t="n">
        <v>1437</v>
      </c>
      <c r="E11" s="23" t="n">
        <v>1753</v>
      </c>
      <c r="F11" s="23" t="n">
        <v>614</v>
      </c>
      <c r="G11" s="23" t="n">
        <v>0</v>
      </c>
      <c r="H11" s="23" t="n">
        <v>0</v>
      </c>
      <c r="I11" s="17" t="n">
        <v>0.62</v>
      </c>
      <c r="J11" s="23">
        <f>H11*I11</f>
        <v/>
      </c>
      <c r="K11" s="20" t="n">
        <v>0</v>
      </c>
      <c r="L11" s="4" t="inlineStr">
        <is>
          <t>ядро R4: найвищий GM, найнижча конкуренція, LTV/CAC 8,5</t>
        </is>
      </c>
    </row>
    <row r="12">
      <c r="A12" s="4" t="inlineStr">
        <is>
          <t xml:space="preserve">  Дороги й інфраструктура</t>
        </is>
      </c>
      <c r="B12" s="10" t="n">
        <v>650</v>
      </c>
      <c r="C12" s="10" t="n">
        <v>767</v>
      </c>
      <c r="D12" s="10" t="n">
        <v>959</v>
      </c>
      <c r="E12" s="10" t="n">
        <v>1189</v>
      </c>
      <c r="F12" s="10" t="n">
        <v>357</v>
      </c>
      <c r="G12" s="10" t="n">
        <v>0</v>
      </c>
      <c r="H12" s="10" t="n">
        <v>0</v>
      </c>
      <c r="I12" s="12" t="n">
        <v>0.52</v>
      </c>
      <c r="J12" s="10">
        <f>H12*I12</f>
        <v/>
      </c>
      <c r="K12" s="11" t="n">
        <v>0</v>
      </c>
      <c r="L12" s="4" t="inlineStr">
        <is>
          <t>донорські інфрапроєкти, прозорість</t>
        </is>
      </c>
    </row>
    <row r="13">
      <c r="A13" s="4" t="inlineStr">
        <is>
          <t xml:space="preserve">  Надра й карʼєри</t>
        </is>
      </c>
      <c r="B13" s="10" t="n">
        <v>380</v>
      </c>
      <c r="C13" s="10" t="n">
        <v>426</v>
      </c>
      <c r="D13" s="10" t="n">
        <v>481</v>
      </c>
      <c r="E13" s="10" t="n">
        <v>534</v>
      </c>
      <c r="F13" s="10" t="n">
        <v>240</v>
      </c>
      <c r="G13" s="10" t="n">
        <v>0</v>
      </c>
      <c r="H13" s="10" t="n">
        <v>0</v>
      </c>
      <c r="I13" s="12" t="n">
        <v>0.66</v>
      </c>
      <c r="J13" s="10">
        <f>H13*I13</f>
        <v/>
      </c>
      <c r="K13" s="11" t="n">
        <v>0</v>
      </c>
      <c r="L13" s="4" t="inlineStr">
        <is>
          <t>найвищий GM у R4, майже немає конкуренції</t>
        </is>
      </c>
    </row>
    <row r="14">
      <c r="A14" s="29" t="inlineStr">
        <is>
          <t xml:space="preserve">  Агро (GIS-ніша)</t>
        </is>
      </c>
      <c r="B14" s="28" t="n">
        <v>311</v>
      </c>
      <c r="C14" s="28" t="n">
        <v>361</v>
      </c>
      <c r="D14" s="28" t="n">
        <v>419</v>
      </c>
      <c r="E14" s="28" t="n">
        <v>486</v>
      </c>
      <c r="F14" s="28" t="n">
        <v>170</v>
      </c>
      <c r="G14" s="28" t="n">
        <v>0</v>
      </c>
      <c r="H14" s="28" t="n">
        <v>0</v>
      </c>
      <c r="I14" s="16" t="n">
        <v>0.6</v>
      </c>
      <c r="J14" s="28">
        <f>H14*I14</f>
        <v/>
      </c>
      <c r="K14" s="32" t="n">
        <v>0</v>
      </c>
      <c r="L14" s="4" t="inlineStr">
        <is>
          <t>НЕ ЙДЕМО: LTV/CAC 1,5, payback понад 30 міс</t>
        </is>
      </c>
    </row>
    <row r="15">
      <c r="A15" s="4" t="inlineStr">
        <is>
          <t xml:space="preserve">  Будівельники (ERP/BIM-процеси)</t>
        </is>
      </c>
      <c r="B15" s="10" t="n">
        <v>185</v>
      </c>
      <c r="C15" s="10" t="n">
        <v>222</v>
      </c>
      <c r="D15" s="10" t="n">
        <v>266</v>
      </c>
      <c r="E15" s="10" t="n">
        <v>320</v>
      </c>
      <c r="F15" s="10" t="n">
        <v>96</v>
      </c>
      <c r="G15" s="10" t="n">
        <v>0</v>
      </c>
      <c r="H15" s="10" t="n">
        <v>0</v>
      </c>
      <c r="I15" s="12" t="n">
        <v>0.45</v>
      </c>
      <c r="J15" s="10">
        <f>H15*I15</f>
        <v/>
      </c>
      <c r="K15" s="11" t="n">
        <v>0</v>
      </c>
      <c r="L15" s="4" t="inlineStr">
        <is>
          <t>TAM ВИПРАВЛЕНО: було 990, знизу вгору 185</t>
        </is>
      </c>
    </row>
    <row r="16">
      <c r="A16" s="29" t="inlineStr">
        <is>
          <t xml:space="preserve">  Громади</t>
        </is>
      </c>
      <c r="B16" s="28" t="n">
        <v>750</v>
      </c>
      <c r="C16" s="28" t="n">
        <v>825</v>
      </c>
      <c r="D16" s="28" t="n">
        <v>916</v>
      </c>
      <c r="E16" s="28" t="n">
        <v>1007</v>
      </c>
      <c r="F16" s="28" t="n">
        <v>252</v>
      </c>
      <c r="G16" s="28" t="n">
        <v>0</v>
      </c>
      <c r="H16" s="28" t="n">
        <v>0</v>
      </c>
      <c r="I16" s="16" t="n">
        <v>0.4</v>
      </c>
      <c r="J16" s="28">
        <f>H16*I16</f>
        <v/>
      </c>
      <c r="K16" s="32" t="n">
        <v>0</v>
      </c>
      <c r="L16" s="4" t="inlineStr">
        <is>
          <t>НЕ ЙДЕМО: демпінг, дрібні чеки, тендери</t>
        </is>
      </c>
    </row>
    <row r="17">
      <c r="A17" s="34" t="inlineStr">
        <is>
          <t>РАЗОМ чотири ринки</t>
        </is>
      </c>
      <c r="B17" s="35">
        <f>SUM(B5:B8)</f>
        <v/>
      </c>
      <c r="C17" s="35">
        <f>SUM(C5:C8)</f>
        <v/>
      </c>
      <c r="D17" s="35">
        <f>SUM(D5:D8)</f>
        <v/>
      </c>
      <c r="E17" s="35">
        <f>SUM(E5:E8)</f>
        <v/>
      </c>
      <c r="F17" s="35">
        <f>SUM(F5:F8)</f>
        <v/>
      </c>
      <c r="G17" s="35">
        <f>SUM(G5:G8)</f>
        <v/>
      </c>
      <c r="H17" s="35">
        <f>SUM(H5:H8)</f>
        <v/>
      </c>
      <c r="I17" s="34" t="n"/>
      <c r="J17" s="35">
        <f>SUM(J5:J8)</f>
        <v/>
      </c>
      <c r="K17" s="36">
        <f>SUM(K5:K8)</f>
        <v/>
      </c>
    </row>
    <row r="19">
      <c r="A19" s="22" t="inlineStr">
        <is>
          <t>Лазерне сканування та BIM (R3) — найшвидший ринок із чотирьох (CAGR 38%), якого сьогодні в компанії немає взагалі: 0 → 40 млн грн.</t>
        </is>
      </c>
    </row>
    <row r="20">
      <c r="A20" s="37" t="inlineStr">
        <is>
          <t>TAM для будівельників виправлено: зверху вниз давало 990 млн, знизу вгору — 185 млн. Завищення в 5,4 раза.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22" customWidth="1" min="8" max="8"/>
    <col width="42" customWidth="1" min="9" max="9"/>
  </cols>
  <sheetData>
    <row r="1">
      <c r="A1" s="1" t="inlineStr">
        <is>
          <t>МАТРИЦЯ РІШЕННЯ — чому ранжування за одним показником оманливе</t>
        </is>
      </c>
    </row>
    <row r="2">
      <c r="A2" s="2" t="inlineStr">
        <is>
          <t>Оцінка 1-5. Ваги в рядку 5 редагуються.</t>
        </is>
      </c>
    </row>
    <row r="4" ht="30" customHeight="1">
      <c r="A4" s="3" t="inlineStr">
        <is>
          <t>Ринок</t>
        </is>
      </c>
      <c r="B4" s="3" t="inlineStr">
        <is>
          <t>Масштаб (абс. ВП 2029)</t>
        </is>
      </c>
      <c r="C4" s="3" t="inlineStr">
        <is>
          <t>Якість економіки (ВП/FTE)</t>
        </is>
      </c>
      <c r="D4" s="3" t="inlineStr">
        <is>
          <t>Вартість захоплення (LTV/CAC)</t>
        </is>
      </c>
      <c r="E4" s="3" t="inlineStr">
        <is>
          <t>Право на перемогу</t>
        </is>
      </c>
      <c r="F4" s="3" t="inlineStr">
        <is>
          <t>Стійкість у сценарії C</t>
        </is>
      </c>
      <c r="G4" s="3" t="inlineStr">
        <is>
          <t>ЗВАЖЕНИЙ БАЛ</t>
        </is>
      </c>
      <c r="H4" s="3" t="inlineStr">
        <is>
          <t>Рішення</t>
        </is>
      </c>
      <c r="I4" s="3" t="inlineStr">
        <is>
          <t>Обґрунтування</t>
        </is>
      </c>
    </row>
    <row r="5">
      <c r="A5" s="18" t="inlineStr">
        <is>
          <t>ВАГА</t>
        </is>
      </c>
      <c r="B5" s="9" t="n">
        <v>0.3</v>
      </c>
      <c r="C5" s="9" t="n">
        <v>0.25</v>
      </c>
      <c r="D5" s="9" t="n">
        <v>0.2</v>
      </c>
      <c r="E5" s="9" t="n">
        <v>0.15</v>
      </c>
      <c r="F5" s="9" t="n">
        <v>0.1</v>
      </c>
    </row>
    <row r="6">
      <c r="A6" s="31" t="inlineStr">
        <is>
          <t>M6  Мережі й комунальна інфра</t>
        </is>
      </c>
      <c r="B6" s="20" t="n">
        <v>5</v>
      </c>
      <c r="C6" s="20" t="n">
        <v>5</v>
      </c>
      <c r="D6" s="20" t="n">
        <v>4</v>
      </c>
      <c r="E6" s="20" t="n">
        <v>5</v>
      </c>
      <c r="F6" s="20" t="n">
        <v>3</v>
      </c>
      <c r="G6" s="38">
        <f>SUMPRODUCT(B6:F6,$B$5:$F$5)</f>
        <v/>
      </c>
      <c r="H6" s="31" t="inlineStr">
        <is>
          <t>★★★ ЯДРО</t>
        </is>
      </c>
      <c r="I6" s="31" t="inlineStr">
        <is>
          <t>єдиний рядок, де великий ВП/FTE поєднується з масштабом</t>
        </is>
      </c>
    </row>
    <row r="7">
      <c r="A7" s="31" t="inlineStr">
        <is>
          <t>M5  Дорожники та інфраструктура</t>
        </is>
      </c>
      <c r="B7" s="20" t="n">
        <v>4</v>
      </c>
      <c r="C7" s="20" t="n">
        <v>4</v>
      </c>
      <c r="D7" s="20" t="n">
        <v>3</v>
      </c>
      <c r="E7" s="20" t="n">
        <v>4</v>
      </c>
      <c r="F7" s="20" t="n">
        <v>2</v>
      </c>
      <c r="G7" s="38">
        <f>SUMPRODUCT(B7:F7,$B$5:$F$5)</f>
        <v/>
      </c>
      <c r="H7" s="31" t="inlineStr">
        <is>
          <t>★★ ДВИГУН</t>
        </is>
      </c>
      <c r="I7" s="31" t="inlineStr">
        <is>
          <t>донорські гроші й вимога прозорості; ризик держзамовника</t>
        </is>
      </c>
    </row>
    <row r="8">
      <c r="A8" s="31" t="inlineStr">
        <is>
          <t>M9  Надра/карʼєри: DaaS-обʼєми</t>
        </is>
      </c>
      <c r="B8" s="20" t="n">
        <v>2</v>
      </c>
      <c r="C8" s="20" t="n">
        <v>5</v>
      </c>
      <c r="D8" s="20" t="n">
        <v>5</v>
      </c>
      <c r="E8" s="20" t="n">
        <v>5</v>
      </c>
      <c r="F8" s="20" t="n">
        <v>4</v>
      </c>
      <c r="G8" s="38">
        <f>SUMPRODUCT(B8:F8,$B$5:$F$5)</f>
        <v/>
      </c>
      <c r="H8" s="31" t="inlineStr">
        <is>
          <t>★★ ДВИГУН</t>
        </is>
      </c>
      <c r="I8" s="31" t="inlineStr">
        <is>
          <t>LTV/CAC 13,3; та сама технологія, що й M5 — одна команда</t>
        </is>
      </c>
    </row>
    <row r="9">
      <c r="A9" s="4" t="inlineStr">
        <is>
          <t>M1  Топогеодезичні вишукування</t>
        </is>
      </c>
      <c r="B9" s="11" t="n">
        <v>1</v>
      </c>
      <c r="C9" s="11" t="n">
        <v>1</v>
      </c>
      <c r="D9" s="11" t="n">
        <v>5</v>
      </c>
      <c r="E9" s="11" t="n">
        <v>5</v>
      </c>
      <c r="F9" s="11" t="n">
        <v>3</v>
      </c>
      <c r="G9" s="39">
        <f>SUMPRODUCT(B9:F9,$B$5:$F$5)</f>
        <v/>
      </c>
      <c r="H9" s="4" t="inlineStr">
        <is>
          <t>● ТІЛЬКИ КАНАЛ</t>
        </is>
      </c>
      <c r="I9" s="4" t="inlineStr">
        <is>
          <t>$4 222 на людину; цінність — у CAC підписки $1 800 замість $8 500</t>
        </is>
      </c>
    </row>
    <row r="10">
      <c r="A10" s="4" t="inlineStr">
        <is>
          <t>M3  ІТ для будівельників</t>
        </is>
      </c>
      <c r="B10" s="11" t="n">
        <v>2</v>
      </c>
      <c r="C10" s="11" t="n">
        <v>3</v>
      </c>
      <c r="D10" s="11" t="n">
        <v>3</v>
      </c>
      <c r="E10" s="11" t="n">
        <v>3</v>
      </c>
      <c r="F10" s="11" t="n">
        <v>2</v>
      </c>
      <c r="G10" s="39">
        <f>SUMPRODUCT(B10:F10,$B$5:$F$5)</f>
        <v/>
      </c>
      <c r="H10" s="4" t="inlineStr">
        <is>
          <t>◐ опція</t>
        </is>
      </c>
      <c r="I10" s="4" t="inlineStr">
        <is>
          <t>SAM лише 337 млн грн</t>
        </is>
      </c>
    </row>
    <row r="11">
      <c r="A11" s="4" t="inlineStr">
        <is>
          <t>M8  Розмінування: геодані + ІТ</t>
        </is>
      </c>
      <c r="B11" s="11" t="n">
        <v>1</v>
      </c>
      <c r="C11" s="11" t="n">
        <v>3</v>
      </c>
      <c r="D11" s="11" t="n">
        <v>4</v>
      </c>
      <c r="E11" s="11" t="n">
        <v>5</v>
      </c>
      <c r="F11" s="11" t="n">
        <v>1</v>
      </c>
      <c r="G11" s="39">
        <f>SUMPRODUCT(B11:F11,$B$5:$F$5)</f>
        <v/>
      </c>
      <c r="H11" s="4" t="inlineStr">
        <is>
          <t>◐ опція</t>
        </is>
      </c>
      <c r="I11" s="4" t="inlineStr">
        <is>
          <t>унікальний фіт, але фінансування політичне</t>
        </is>
      </c>
    </row>
    <row r="12">
      <c r="A12" s="29" t="inlineStr">
        <is>
          <t>M4  ІТ / цифра для агро</t>
        </is>
      </c>
      <c r="B12" s="32" t="n">
        <v>2</v>
      </c>
      <c r="C12" s="32" t="n">
        <v>4</v>
      </c>
      <c r="D12" s="32" t="n">
        <v>1</v>
      </c>
      <c r="E12" s="32" t="n">
        <v>2</v>
      </c>
      <c r="F12" s="32" t="n">
        <v>4</v>
      </c>
      <c r="G12" s="40">
        <f>SUMPRODUCT(B12:F12,$B$5:$F$5)</f>
        <v/>
      </c>
      <c r="H12" s="29" t="inlineStr">
        <is>
          <t>✗ НІ</t>
        </is>
      </c>
      <c r="I12" s="29" t="inlineStr">
        <is>
          <t>LTV/CAC 1,8, payback 30,5 міс — ринок зайнятий</t>
        </is>
      </c>
    </row>
    <row r="13">
      <c r="A13" s="31" t="inlineStr">
        <is>
          <t>M2  Інженерно-геологічні вишукування</t>
        </is>
      </c>
      <c r="B13" s="20" t="n">
        <v>5</v>
      </c>
      <c r="C13" s="20" t="n">
        <v>4</v>
      </c>
      <c r="D13" s="20" t="n">
        <v>5</v>
      </c>
      <c r="E13" s="20" t="n">
        <v>5</v>
      </c>
      <c r="F13" s="20" t="n">
        <v>3</v>
      </c>
      <c r="G13" s="38">
        <f>SUMPRODUCT(B13:F13,$B$5:$F$5)</f>
        <v/>
      </c>
      <c r="H13" s="31" t="inlineStr">
        <is>
          <t>★★★ ЯДРО</t>
        </is>
      </c>
      <c r="I13" s="31" t="inlineStr">
        <is>
          <t>ФАКТ 70 000 грн/день: GM 52%, окупність УРБ менш ніж рік</t>
        </is>
      </c>
    </row>
    <row r="14">
      <c r="A14" s="29" t="inlineStr">
        <is>
          <t>M7  Громади / містобудівна докум.</t>
        </is>
      </c>
      <c r="B14" s="32" t="n">
        <v>1</v>
      </c>
      <c r="C14" s="32" t="n">
        <v>2</v>
      </c>
      <c r="D14" s="32" t="n">
        <v>2</v>
      </c>
      <c r="E14" s="32" t="n">
        <v>3</v>
      </c>
      <c r="F14" s="32" t="n">
        <v>2</v>
      </c>
      <c r="G14" s="40">
        <f>SUMPRODUCT(B14:F14,$B$5:$F$5)</f>
        <v/>
      </c>
      <c r="H14" s="29" t="inlineStr">
        <is>
          <t>✗ НІ</t>
        </is>
      </c>
      <c r="I14" s="29" t="inlineStr">
        <is>
          <t>тендери, демпінг, дрібні чеки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8" customWidth="1" min="4" max="4"/>
    <col width="13" customWidth="1" min="5" max="5"/>
    <col width="13" customWidth="1" min="6" max="6"/>
    <col width="40" customWidth="1" min="7" max="7"/>
  </cols>
  <sheetData>
    <row r="1">
      <c r="A1" s="1" t="inlineStr">
        <is>
          <t>P&amp;L: БАЗА 2026 → ЦІЛЬ 2029 (тільки внутрішній ринок)</t>
        </is>
      </c>
    </row>
    <row r="2">
      <c r="A2" s="41" t="inlineStr">
        <is>
          <t>База 2026 — реконструкція за РИНКОВИМИ цінами і «легкою» структурою витрат, НЕ ваша звітність.</t>
        </is>
      </c>
    </row>
    <row r="4">
      <c r="A4" s="1" t="inlineStr">
        <is>
          <t>БАЗА 2026 (~50 осіб) — перерахована за ринковими цінами</t>
        </is>
      </c>
    </row>
    <row r="5" ht="30" customHeight="1">
      <c r="A5" s="3" t="inlineStr">
        <is>
          <t>Напрям</t>
        </is>
      </c>
      <c r="B5" s="3" t="inlineStr">
        <is>
          <t>FTE</t>
        </is>
      </c>
      <c r="C5" s="3" t="inlineStr">
        <is>
          <t>Виручка, млн грн</t>
        </is>
      </c>
      <c r="D5" s="3" t="inlineStr">
        <is>
          <t>GM %</t>
        </is>
      </c>
      <c r="E5" s="3" t="inlineStr">
        <is>
          <t>Валовий приб., млн</t>
        </is>
      </c>
      <c r="F5" s="3" t="inlineStr">
        <is>
          <t>ВП на 1 FTE, $</t>
        </is>
      </c>
      <c r="G5" s="3" t="inlineStr">
        <is>
          <t>Коментар</t>
        </is>
      </c>
    </row>
    <row r="6">
      <c r="A6" s="4" t="inlineStr">
        <is>
          <t>Геологія (3,3 бригади, util 55%)</t>
        </is>
      </c>
      <c r="B6" s="11" t="n">
        <v>12</v>
      </c>
      <c r="C6" s="42" t="n">
        <v>26.9</v>
      </c>
      <c r="D6" s="12" t="n">
        <v>0.44</v>
      </c>
      <c r="E6" s="42">
        <f>C6*D6</f>
        <v/>
      </c>
      <c r="F6" s="10">
        <f>IF(B6=0,0,E6*1000000/45.0/B6)</f>
        <v/>
      </c>
      <c r="G6" s="4" t="inlineStr">
        <is>
          <t>ФАКТ 70 000 грн/день — увесь прибуток компанії</t>
        </is>
      </c>
    </row>
    <row r="7">
      <c r="A7" s="4" t="inlineStr">
        <is>
          <t>Топогеодезія (9,2 бригади, util 62%)</t>
        </is>
      </c>
      <c r="B7" s="11" t="n">
        <v>22</v>
      </c>
      <c r="C7" s="42" t="n">
        <v>19.6</v>
      </c>
      <c r="D7" s="12" t="n">
        <v>0.21</v>
      </c>
      <c r="E7" s="42">
        <f>C7*D7</f>
        <v/>
      </c>
      <c r="F7" s="10">
        <f>IF(B7=0,0,E7*1000000/45.0/B7)</f>
        <v/>
      </c>
      <c r="G7" s="4" t="inlineStr">
        <is>
          <t>15 000 грн/день, «легка» структура витрат</t>
        </is>
      </c>
    </row>
    <row r="8">
      <c r="A8" s="4" t="inlineStr">
        <is>
          <t>ІТ на внутрішній ринок</t>
        </is>
      </c>
      <c r="B8" s="11" t="n">
        <v>10</v>
      </c>
      <c r="C8" s="42" t="n">
        <v>17</v>
      </c>
      <c r="D8" s="12" t="n">
        <v>0.12</v>
      </c>
      <c r="E8" s="42">
        <f>C8*D8</f>
        <v/>
      </c>
      <c r="F8" s="10">
        <f>IF(B8=0,0,E8*1000000/45.0/B8)</f>
        <v/>
      </c>
      <c r="G8" s="4" t="inlineStr">
        <is>
          <t>фікс-прайс; T&amp;M за $26/год був би збитковим</t>
        </is>
      </c>
    </row>
    <row r="9">
      <c r="A9" s="4" t="inlineStr">
        <is>
          <t>Адмін / продажі / бек-офіс</t>
        </is>
      </c>
      <c r="B9" s="11" t="n">
        <v>6</v>
      </c>
      <c r="C9" s="42" t="n">
        <v>0</v>
      </c>
      <c r="D9" s="12" t="n">
        <v>0</v>
      </c>
      <c r="E9" s="42">
        <f>C9*D9</f>
        <v/>
      </c>
      <c r="F9" s="10">
        <f>IF(B9=0,0,E9*1000000/45.0/B9)</f>
        <v/>
      </c>
      <c r="G9" s="4" t="inlineStr"/>
    </row>
    <row r="10">
      <c r="A10" s="34" t="inlineStr">
        <is>
          <t>РАЗОМ</t>
        </is>
      </c>
      <c r="B10" s="34">
        <f>SUM(B6:B9)</f>
        <v/>
      </c>
      <c r="C10" s="43">
        <f>SUM(C6:C9)</f>
        <v/>
      </c>
      <c r="D10" s="44">
        <f>E10/C10</f>
        <v/>
      </c>
      <c r="E10" s="43">
        <f>SUM(E6:E9)</f>
        <v/>
      </c>
      <c r="F10" s="35">
        <f>E10*1000000/45.0/B10</f>
        <v/>
      </c>
      <c r="G10" s="34" t="inlineStr"/>
    </row>
    <row r="11">
      <c r="A11" s="18" t="inlineStr">
        <is>
          <t>SG&amp;A, % від виручки</t>
        </is>
      </c>
      <c r="B11" s="9" t="n">
        <v>0.16</v>
      </c>
      <c r="C11" s="45">
        <f>C10*B11</f>
        <v/>
      </c>
      <c r="G11" s="2" t="inlineStr">
        <is>
          <t>для польової компанії 50 осіб типово 14-18%</t>
        </is>
      </c>
    </row>
    <row r="12">
      <c r="A12" s="34" t="inlineStr">
        <is>
          <t>EBITDA, млн грн</t>
        </is>
      </c>
      <c r="B12" s="46" t="n"/>
      <c r="C12" s="43">
        <f>E10-C11</f>
        <v/>
      </c>
      <c r="D12" s="47">
        <f>C12/C10</f>
        <v/>
      </c>
      <c r="E12" s="48">
        <f>C12*1000000/45.0</f>
        <v/>
      </c>
      <c r="F12" t="inlineStr">
        <is>
          <t>USD</t>
        </is>
      </c>
    </row>
    <row r="14">
      <c r="A14" s="1" t="inlineStr">
        <is>
          <t>ЦІЛЬ 2029 (~100 осіб) — чотири ринки</t>
        </is>
      </c>
    </row>
    <row r="15" ht="30" customHeight="1">
      <c r="A15" s="3" t="inlineStr">
        <is>
          <t>Напрям</t>
        </is>
      </c>
      <c r="B15" s="3" t="inlineStr">
        <is>
          <t>FTE</t>
        </is>
      </c>
      <c r="C15" s="3" t="inlineStr">
        <is>
          <t>Виручка, млн грн</t>
        </is>
      </c>
      <c r="D15" s="3" t="inlineStr">
        <is>
          <t>GM %</t>
        </is>
      </c>
      <c r="E15" s="3" t="inlineStr">
        <is>
          <t>Валовий приб., млн</t>
        </is>
      </c>
      <c r="F15" s="3" t="inlineStr">
        <is>
          <t>ВП на 1 FTE, $</t>
        </is>
      </c>
      <c r="G15" s="3" t="inlineStr">
        <is>
          <t>Коментар</t>
        </is>
      </c>
    </row>
    <row r="16">
      <c r="A16" s="4" t="inlineStr">
        <is>
          <t>R4 ІТ-розробка для індустрій (ядро — мережі)</t>
        </is>
      </c>
      <c r="B16" s="11" t="n">
        <v>28</v>
      </c>
      <c r="C16" s="42" t="n">
        <v>95.2</v>
      </c>
      <c r="D16" s="12" t="n">
        <v>0.58</v>
      </c>
      <c r="E16" s="42">
        <f>C16*D16</f>
        <v/>
      </c>
      <c r="F16" s="10">
        <f>IF(B16=0,0,E16*1000000/51.5/B16)</f>
        <v/>
      </c>
      <c r="G16" s="4" t="inlineStr">
        <is>
          <t>СТАВКА 1: двигун зростання, ROIC 957%</t>
        </is>
      </c>
    </row>
    <row r="17">
      <c r="A17" s="4" t="inlineStr">
        <is>
          <t>R2 Інженерна геологія (7 бригад, util 70%)</t>
        </is>
      </c>
      <c r="B17" s="11" t="n">
        <v>26</v>
      </c>
      <c r="C17" s="42" t="n">
        <v>74.40000000000001</v>
      </c>
      <c r="D17" s="12" t="n">
        <v>0.52</v>
      </c>
      <c r="E17" s="42">
        <f>C17*D17</f>
        <v/>
      </c>
      <c r="F17" s="10">
        <f>IF(B17=0,0,E17*1000000/51.5/B17)</f>
        <v/>
      </c>
      <c r="G17" s="4" t="inlineStr">
        <is>
          <t>СТАВКА 3: грошова корова, фінансує R3 і R4</t>
        </is>
      </c>
    </row>
    <row r="18">
      <c r="A18" s="4" t="inlineStr">
        <is>
          <t>R3 Лазерне сканування та BIM</t>
        </is>
      </c>
      <c r="B18" s="11" t="n">
        <v>20</v>
      </c>
      <c r="C18" s="42" t="n">
        <v>40</v>
      </c>
      <c r="D18" s="12" t="n">
        <v>0.55</v>
      </c>
      <c r="E18" s="42">
        <f>C18*D18</f>
        <v/>
      </c>
      <c r="F18" s="10">
        <f>IF(B18=0,0,E18*1000000/51.5/B18)</f>
        <v/>
      </c>
      <c r="G18" s="4" t="inlineStr">
        <is>
          <t>СТАВКА 2: новий напрямок, CAGR 38%</t>
        </is>
      </c>
    </row>
    <row r="19">
      <c r="A19" s="4" t="inlineStr">
        <is>
          <t>R1 Топографія (канал продажів)</t>
        </is>
      </c>
      <c r="B19" s="11" t="n">
        <v>15</v>
      </c>
      <c r="C19" s="42" t="n">
        <v>16.2</v>
      </c>
      <c r="D19" s="12" t="n">
        <v>0.26</v>
      </c>
      <c r="E19" s="42">
        <f>C19*D19</f>
        <v/>
      </c>
      <c r="F19" s="10">
        <f>IF(B19=0,0,E19*1000000/51.5/B19)</f>
        <v/>
      </c>
      <c r="G19" s="4" t="inlineStr">
        <is>
          <t>не росте; дає доступ до 70 000 покупців</t>
        </is>
      </c>
    </row>
    <row r="20">
      <c r="A20" s="4" t="inlineStr">
        <is>
          <t>Адмін / продажі / маркетинг / R&amp;D</t>
        </is>
      </c>
      <c r="B20" s="11" t="n">
        <v>11</v>
      </c>
      <c r="C20" s="42" t="n">
        <v>0</v>
      </c>
      <c r="D20" s="12" t="n">
        <v>0</v>
      </c>
      <c r="E20" s="42">
        <f>C20*D20</f>
        <v/>
      </c>
      <c r="F20" s="10">
        <f>IF(B20=0,0,E20*1000000/51.5/B20)</f>
        <v/>
      </c>
      <c r="G20" s="4" t="inlineStr"/>
    </row>
    <row r="21">
      <c r="A21" s="34" t="inlineStr">
        <is>
          <t>РАЗОМ</t>
        </is>
      </c>
      <c r="B21" s="34">
        <f>SUM(B16:B20)</f>
        <v/>
      </c>
      <c r="C21" s="43">
        <f>SUM(C16:C20)</f>
        <v/>
      </c>
      <c r="D21" s="44">
        <f>E21/C21</f>
        <v/>
      </c>
      <c r="E21" s="43">
        <f>SUM(E16:E20)</f>
        <v/>
      </c>
      <c r="F21" s="35">
        <f>E21*1000000/51.5/B21</f>
        <v/>
      </c>
      <c r="G21" s="34" t="inlineStr"/>
    </row>
    <row r="22">
      <c r="A22" s="18" t="inlineStr">
        <is>
          <t>SG&amp;A, % від виручки</t>
        </is>
      </c>
      <c r="B22" s="9" t="n">
        <v>0.27</v>
      </c>
      <c r="C22" s="45">
        <f>C21*B22</f>
        <v/>
      </c>
      <c r="G22" s="2" t="inlineStr">
        <is>
          <t>вище, бо зʼявляються продажі й маркетинг продукту</t>
        </is>
      </c>
    </row>
    <row r="23">
      <c r="A23" s="34" t="inlineStr">
        <is>
          <t>EBITDA, млн грн</t>
        </is>
      </c>
      <c r="B23" s="46" t="n"/>
      <c r="C23" s="43">
        <f>E21-C22</f>
        <v/>
      </c>
      <c r="D23" s="47">
        <f>C23/C21</f>
        <v/>
      </c>
      <c r="E23" s="48">
        <f>C23*1000000/51.5</f>
        <v/>
      </c>
      <c r="F23" t="inlineStr">
        <is>
          <t>USD</t>
        </is>
      </c>
    </row>
    <row r="25">
      <c r="A25" s="49" t="inlineStr">
        <is>
          <t>ДЕЛЬТА 2026 → 2029</t>
        </is>
      </c>
    </row>
    <row r="26">
      <c r="A26" s="4" t="inlineStr">
        <is>
          <t>Виручка</t>
        </is>
      </c>
      <c r="B26" s="50">
        <f>C21/C10</f>
        <v/>
      </c>
    </row>
    <row r="27">
      <c r="A27" s="4" t="inlineStr">
        <is>
          <t>Валовий прибуток</t>
        </is>
      </c>
      <c r="B27" s="50">
        <f>E21/E10</f>
        <v/>
      </c>
    </row>
    <row r="28">
      <c r="A28" s="4" t="inlineStr">
        <is>
          <t>Валовий прибуток на 1 FTE</t>
        </is>
      </c>
      <c r="B28" s="50">
        <f>F21/F10</f>
        <v/>
      </c>
    </row>
    <row r="29">
      <c r="A29" s="4" t="inlineStr">
        <is>
          <t>EBITDA, млн грн</t>
        </is>
      </c>
      <c r="B29" s="45">
        <f>C12</f>
        <v/>
      </c>
      <c r="C29" s="51" t="inlineStr">
        <is>
          <t>→</t>
        </is>
      </c>
      <c r="D29" s="52">
        <f>C23</f>
        <v/>
      </c>
    </row>
  </sheetData>
  <mergeCells count="3">
    <mergeCell ref="A4:H4"/>
    <mergeCell ref="A14:H14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12" customWidth="1" min="4" max="4"/>
    <col width="12" customWidth="1" min="5" max="5"/>
    <col width="44" customWidth="1" min="6" max="6"/>
  </cols>
  <sheetData>
    <row r="1">
      <c r="A1" s="1" t="inlineStr">
        <is>
          <t>СЦЕНАРІЇ 2029 — ціна відмови від валютної виручки</t>
        </is>
      </c>
    </row>
    <row r="2">
      <c r="A2" s="41" t="inlineStr">
        <is>
          <t>Без експорту всі чотири ринки живляться з одного джерела: бюджету й донорських грошей.</t>
        </is>
      </c>
    </row>
    <row r="4" ht="30" customHeight="1">
      <c r="A4" s="3" t="inlineStr">
        <is>
          <t>Сценарій</t>
        </is>
      </c>
      <c r="B4" s="3" t="inlineStr">
        <is>
          <t>Ймовірність</t>
        </is>
      </c>
      <c r="C4" s="3" t="inlineStr">
        <is>
          <t>Коеф. внутр. ринків</t>
        </is>
      </c>
      <c r="D4" s="3" t="inlineStr">
        <is>
          <t>Виручка, млн грн</t>
        </is>
      </c>
      <c r="E4" s="3" t="inlineStr">
        <is>
          <t>EBITDA, млн грн</t>
        </is>
      </c>
      <c r="F4" s="3" t="inlineStr">
        <is>
          <t>Що це означає</t>
        </is>
      </c>
    </row>
    <row r="5">
      <c r="A5" s="4" t="inlineStr">
        <is>
          <t>A. Війна триває, донори стабільні</t>
        </is>
      </c>
      <c r="B5" s="9" t="n">
        <v>0.55</v>
      </c>
      <c r="C5" s="53" t="n">
        <v>1</v>
      </c>
      <c r="D5" s="10">
        <f>(95.2+74.4+40+16.2)*C5</f>
        <v/>
      </c>
      <c r="E5" s="10">
        <f>(95.2*0.58+74.4*0.52+40*0.55+16.2*0.26)*C5-D5*0.27</f>
        <v/>
      </c>
      <c r="F5" s="4" t="inlineStr">
        <is>
          <t>базовий портфель</t>
        </is>
      </c>
    </row>
    <row r="6">
      <c r="A6" s="4" t="inlineStr">
        <is>
          <t>B. Перемирʼя + донорський пакет</t>
        </is>
      </c>
      <c r="B6" s="9" t="n">
        <v>0.25</v>
      </c>
      <c r="C6" s="53" t="n">
        <v>1.85</v>
      </c>
      <c r="D6" s="10">
        <f>(95.2+74.4+40+16.2)*C6</f>
        <v/>
      </c>
      <c r="E6" s="10">
        <f>(95.2*0.58+74.4*0.52+40*0.55+16.2*0.26)*C6-D6*0.27</f>
        <v/>
      </c>
      <c r="F6" s="4" t="inlineStr">
        <is>
          <t>інфра, мережі й дороги стрибають</t>
        </is>
      </c>
    </row>
    <row r="7">
      <c r="A7" s="29" t="inlineStr">
        <is>
          <t>C. Ескалація / зрив фінансування</t>
        </is>
      </c>
      <c r="B7" s="16" t="n">
        <v>0.2</v>
      </c>
      <c r="C7" s="54" t="n">
        <v>0.5</v>
      </c>
      <c r="D7" s="28">
        <f>(95.2+74.4+40+16.2)*C7</f>
        <v/>
      </c>
      <c r="E7" s="28">
        <f>(95.2*0.58+74.4*0.52+40*0.55+16.2*0.26)*C7-D7*0.27</f>
        <v/>
      </c>
      <c r="F7" s="29" t="inlineStr">
        <is>
          <t>виручка падає удвічі — нижню межу не тримає ніщо</t>
        </is>
      </c>
    </row>
    <row r="8">
      <c r="A8" s="34" t="inlineStr">
        <is>
          <t>ОЧІКУВАНЕ ЗНАЧЕННЯ (зважене)</t>
        </is>
      </c>
      <c r="B8" s="34" t="n"/>
      <c r="C8" s="34" t="n"/>
      <c r="D8" s="35">
        <f>SUMPRODUCT(B5:B7,D5:D7)</f>
        <v/>
      </c>
      <c r="E8" s="35">
        <f>SUMPRODUCT(B5:B7,E5:E7)</f>
        <v/>
      </c>
    </row>
    <row r="10">
      <c r="A10" s="37" t="inlineStr">
        <is>
          <t>Раніше експорт тримав нижню межу: внутрішні ринки падали на 45%, валютна лінія майже ні. Тепер такої лінії немає.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>
      <c r="A1" s="1" t="inlineStr">
        <is>
          <t>ЮНІТ-ЕКОНОМІКА ЧОТИРЬОХ РИНКІВ — ПОКУПЕЦЬ ЯК ЮНІТ</t>
        </is>
      </c>
    </row>
    <row r="2">
      <c r="A2" s="2" t="inlineStr">
        <is>
          <t>Жовті комірки редагуються. LTV, LTV/CAC, payback, ROIC і бал рахуються формулами. Курс 51,5 грн/$.</t>
        </is>
      </c>
    </row>
    <row r="4" ht="30" customHeight="1">
      <c r="A4" s="3" t="inlineStr">
        <is>
          <t>Ринок</t>
        </is>
      </c>
      <c r="B4" s="3" t="inlineStr">
        <is>
          <t>Юніт</t>
        </is>
      </c>
      <c r="C4" s="3" t="inlineStr">
        <is>
          <t>Чек, грн</t>
        </is>
      </c>
      <c r="D4" s="3" t="inlineStr">
        <is>
          <t>Повторів/рік</t>
        </is>
      </c>
      <c r="E4" s="3" t="inlineStr">
        <is>
          <t>Років життя</t>
        </is>
      </c>
      <c r="F4" s="3" t="inlineStr">
        <is>
          <t>GM</t>
        </is>
      </c>
      <c r="G4" s="3" t="inlineStr">
        <is>
          <t>CAC, грн</t>
        </is>
      </c>
      <c r="H4" s="3" t="inlineStr">
        <is>
          <t>Виручка/FTE, млн</t>
        </is>
      </c>
      <c r="I4" s="3" t="inlineStr">
        <is>
          <t>CapEx/FTE $</t>
        </is>
      </c>
      <c r="J4" s="3" t="inlineStr">
        <is>
          <t>Конкур. 1-5</t>
        </is>
      </c>
      <c r="K4" s="3" t="inlineStr">
        <is>
          <t>SAM 2029</t>
        </is>
      </c>
    </row>
    <row r="5">
      <c r="A5" s="4" t="inlineStr">
        <is>
          <t>R1 Топографія</t>
        </is>
      </c>
      <c r="B5" s="6" t="inlineStr">
        <is>
          <t>обʼєкт / замовлення</t>
        </is>
      </c>
      <c r="C5" s="8" t="n">
        <v>25000</v>
      </c>
      <c r="D5" s="5" t="n">
        <v>1.4</v>
      </c>
      <c r="E5" s="7" t="n">
        <v>3</v>
      </c>
      <c r="F5" s="9" t="n">
        <v>0.26</v>
      </c>
      <c r="G5" s="8" t="n">
        <v>4000</v>
      </c>
      <c r="H5" s="53" t="n">
        <v>1.08</v>
      </c>
      <c r="I5" s="8" t="n">
        <v>9600</v>
      </c>
      <c r="J5" s="7" t="n">
        <v>5</v>
      </c>
      <c r="K5" s="8" t="n">
        <v>1236</v>
      </c>
    </row>
    <row r="6">
      <c r="A6" s="4" t="inlineStr">
        <is>
          <t>R2 Інженерна геологія</t>
        </is>
      </c>
      <c r="B6" s="6" t="inlineStr">
        <is>
          <t>обʼєкт / замовлення</t>
        </is>
      </c>
      <c r="C6" s="8" t="n">
        <v>250000</v>
      </c>
      <c r="D6" s="5" t="n">
        <v>1.2</v>
      </c>
      <c r="E6" s="7" t="n">
        <v>3</v>
      </c>
      <c r="F6" s="9" t="n">
        <v>0.52</v>
      </c>
      <c r="G6" s="8" t="n">
        <v>12000</v>
      </c>
      <c r="H6" s="53" t="n">
        <v>2.8615</v>
      </c>
      <c r="I6" s="8" t="n">
        <v>25000</v>
      </c>
      <c r="J6" s="7" t="n">
        <v>3</v>
      </c>
      <c r="K6" s="8" t="n">
        <v>894</v>
      </c>
    </row>
    <row r="7">
      <c r="A7" s="4" t="inlineStr">
        <is>
          <t>R3 Лазерне сканування та BIM</t>
        </is>
      </c>
      <c r="B7" s="6" t="inlineStr">
        <is>
          <t>обʼєкт / проєкт</t>
        </is>
      </c>
      <c r="C7" s="8" t="n">
        <v>400000</v>
      </c>
      <c r="D7" s="5" t="n">
        <v>1.3</v>
      </c>
      <c r="E7" s="7" t="n">
        <v>3</v>
      </c>
      <c r="F7" s="9" t="n">
        <v>0.55</v>
      </c>
      <c r="G7" s="8" t="n">
        <v>25000</v>
      </c>
      <c r="H7" s="53" t="n">
        <v>2</v>
      </c>
      <c r="I7" s="8" t="n">
        <v>9500</v>
      </c>
      <c r="J7" s="7" t="n">
        <v>3</v>
      </c>
      <c r="K7" s="8" t="n">
        <v>476</v>
      </c>
    </row>
    <row r="8">
      <c r="A8" s="4" t="inlineStr">
        <is>
          <t>R4 ІТ-розробка для індустрій</t>
        </is>
      </c>
      <c r="B8" s="6" t="inlineStr">
        <is>
          <t>клієнт / підписка</t>
        </is>
      </c>
      <c r="C8" s="8" t="n">
        <v>721000</v>
      </c>
      <c r="D8" s="5" t="n">
        <v>1</v>
      </c>
      <c r="E8" s="7" t="n">
        <v>6</v>
      </c>
      <c r="F8" s="9" t="n">
        <v>0.58</v>
      </c>
      <c r="G8" s="8" t="n">
        <v>300000</v>
      </c>
      <c r="H8" s="53" t="n">
        <v>3.4</v>
      </c>
      <c r="I8" s="8" t="n">
        <v>4000</v>
      </c>
      <c r="J8" s="7" t="n">
        <v>3</v>
      </c>
      <c r="K8" s="8" t="n">
        <v>1392</v>
      </c>
    </row>
    <row r="10">
      <c r="A10" s="1" t="inlineStr">
        <is>
          <t>РОЗРАХУНОК</t>
        </is>
      </c>
    </row>
    <row r="11" ht="30" customHeight="1">
      <c r="A11" s="3" t="inlineStr">
        <is>
          <t>Ринок</t>
        </is>
      </c>
      <c r="B11" s="3" t="inlineStr">
        <is>
          <t>LTV $</t>
        </is>
      </c>
      <c r="C11" s="3" t="inlineStr">
        <is>
          <t>CAC $</t>
        </is>
      </c>
      <c r="D11" s="3" t="inlineStr">
        <is>
          <t>LTV / CAC</t>
        </is>
      </c>
      <c r="E11" s="3" t="inlineStr">
        <is>
          <t>Payback, міс</t>
        </is>
      </c>
      <c r="F11" s="3" t="inlineStr">
        <is>
          <t>ВП/FTE $</t>
        </is>
      </c>
      <c r="G11" s="3" t="inlineStr">
        <is>
          <t>ROIC</t>
        </is>
      </c>
      <c r="H11" s="3" t="inlineStr">
        <is>
          <t>ВП на SAM, млн</t>
        </is>
      </c>
      <c r="I11" s="3" t="inlineStr"/>
      <c r="J11" s="3" t="inlineStr"/>
      <c r="K11" s="3" t="inlineStr"/>
    </row>
    <row r="12">
      <c r="A12" s="4">
        <f>A5</f>
        <v/>
      </c>
      <c r="B12" s="23">
        <f>C5*D5*E5*F5/51.5</f>
        <v/>
      </c>
      <c r="C12" s="23">
        <f>G5/51.5</f>
        <v/>
      </c>
      <c r="D12" s="55">
        <f>B12/C12</f>
        <v/>
      </c>
      <c r="E12" s="55">
        <f>C12/(C5*D5*F5/12/51.5)</f>
        <v/>
      </c>
      <c r="F12" s="15">
        <f>H5*F5*1000000/51.5</f>
        <v/>
      </c>
      <c r="G12" s="17">
        <f>F12/I5</f>
        <v/>
      </c>
      <c r="H12" s="23">
        <f>K5*F5</f>
        <v/>
      </c>
    </row>
    <row r="13">
      <c r="A13" s="4">
        <f>A6</f>
        <v/>
      </c>
      <c r="B13" s="23">
        <f>C6*D6*E6*F6/51.5</f>
        <v/>
      </c>
      <c r="C13" s="23">
        <f>G6/51.5</f>
        <v/>
      </c>
      <c r="D13" s="55">
        <f>B13/C13</f>
        <v/>
      </c>
      <c r="E13" s="55">
        <f>C13/(C6*D6*F6/12/51.5)</f>
        <v/>
      </c>
      <c r="F13" s="15">
        <f>H6*F6*1000000/51.5</f>
        <v/>
      </c>
      <c r="G13" s="17">
        <f>F13/I6</f>
        <v/>
      </c>
      <c r="H13" s="23">
        <f>K6*F6</f>
        <v/>
      </c>
    </row>
    <row r="14">
      <c r="A14" s="4">
        <f>A7</f>
        <v/>
      </c>
      <c r="B14" s="23">
        <f>C7*D7*E7*F7/51.5</f>
        <v/>
      </c>
      <c r="C14" s="23">
        <f>G7/51.5</f>
        <v/>
      </c>
      <c r="D14" s="55">
        <f>B14/C14</f>
        <v/>
      </c>
      <c r="E14" s="55">
        <f>C14/(C7*D7*F7/12/51.5)</f>
        <v/>
      </c>
      <c r="F14" s="15">
        <f>H7*F7*1000000/51.5</f>
        <v/>
      </c>
      <c r="G14" s="17">
        <f>F14/I7</f>
        <v/>
      </c>
      <c r="H14" s="23">
        <f>K7*F7</f>
        <v/>
      </c>
    </row>
    <row r="15">
      <c r="A15" s="4">
        <f>A8</f>
        <v/>
      </c>
      <c r="B15" s="23">
        <f>C8*D8*E8*F8/51.5</f>
        <v/>
      </c>
      <c r="C15" s="23">
        <f>G8/51.5</f>
        <v/>
      </c>
      <c r="D15" s="55">
        <f>B15/C15</f>
        <v/>
      </c>
      <c r="E15" s="55">
        <f>C15/(C8*D8*F8/12/51.5)</f>
        <v/>
      </c>
      <c r="F15" s="15">
        <f>H8*F8*1000000/51.5</f>
        <v/>
      </c>
      <c r="G15" s="17">
        <f>F15/I8</f>
        <v/>
      </c>
      <c r="H15" s="23">
        <f>K8*F8</f>
        <v/>
      </c>
    </row>
    <row r="16">
      <c r="A16" s="22" t="inlineStr">
        <is>
          <t>Поріг інвестора: LTV/CAC &gt; 3 і payback &lt; 12 міс. Усі чотири ринки проходять.</t>
        </is>
      </c>
    </row>
    <row r="18">
      <c r="A18" s="1" t="inlineStr">
        <is>
          <t>ПЕРЕВІРКА ОБСЯГУ РИНКУ: ДВІ НЕЗАЛЕЖНІ ОЦІНКИ</t>
        </is>
      </c>
    </row>
    <row r="19" ht="30" customHeight="1">
      <c r="A19" s="3" t="inlineStr">
        <is>
          <t>Ринок</t>
        </is>
      </c>
      <c r="B19" s="3" t="inlineStr">
        <is>
          <t>Зверху вниз</t>
        </is>
      </c>
      <c r="C19" s="3" t="inlineStr">
        <is>
          <t>Покупців</t>
        </is>
      </c>
      <c r="D19" s="3" t="inlineStr">
        <is>
          <t>× річний чек</t>
        </is>
      </c>
      <c r="E19" s="3" t="inlineStr">
        <is>
          <t>Знизу вгору</t>
        </is>
      </c>
      <c r="F19" s="3" t="inlineStr">
        <is>
          <t>Розбіжність</t>
        </is>
      </c>
      <c r="G19" s="3" t="inlineStr">
        <is>
          <t>Вердикт</t>
        </is>
      </c>
      <c r="H19" s="3" t="inlineStr"/>
      <c r="I19" s="3" t="inlineStr"/>
      <c r="J19" s="3" t="inlineStr"/>
      <c r="K19" s="3" t="inlineStr"/>
    </row>
    <row r="20">
      <c r="A20" s="4" t="inlineStr">
        <is>
          <t>R1 Топографія</t>
        </is>
      </c>
      <c r="B20" s="10" t="n">
        <v>2860</v>
      </c>
      <c r="C20" s="10" t="n">
        <v>70000</v>
      </c>
      <c r="D20" s="10" t="n">
        <v>40000</v>
      </c>
      <c r="E20" s="10">
        <f>C20*D20/1000000</f>
        <v/>
      </c>
      <c r="F20" s="12">
        <f>E20/B20-1</f>
        <v/>
      </c>
      <c r="G20" s="4">
        <f>IF(ABS(F20)&lt;0.35,"✓ підтверджено","⚠ ЦИФРІ НЕ ДОВІРЯТИ")</f>
        <v/>
      </c>
    </row>
    <row r="21">
      <c r="A21" s="4" t="inlineStr">
        <is>
          <t>R2 Інженерна геологія</t>
        </is>
      </c>
      <c r="B21" s="10" t="n">
        <v>2410</v>
      </c>
      <c r="C21" s="10" t="n">
        <v>12000</v>
      </c>
      <c r="D21" s="10" t="n">
        <v>200000</v>
      </c>
      <c r="E21" s="10">
        <f>C21*D21/1000000</f>
        <v/>
      </c>
      <c r="F21" s="12">
        <f>E21/B21-1</f>
        <v/>
      </c>
      <c r="G21" s="4">
        <f>IF(ABS(F21)&lt;0.35,"✓ підтверджено","⚠ ЦИФРІ НЕ ДОВІРЯТИ")</f>
        <v/>
      </c>
    </row>
    <row r="22">
      <c r="A22" s="4" t="inlineStr">
        <is>
          <t>R3 Лазерне сканування та BIM</t>
        </is>
      </c>
      <c r="B22" s="10" t="n">
        <v>428</v>
      </c>
      <c r="C22" s="10" t="n">
        <v>1030</v>
      </c>
      <c r="D22" s="10" t="n">
        <v>350000</v>
      </c>
      <c r="E22" s="10">
        <f>C22*D22/1000000</f>
        <v/>
      </c>
      <c r="F22" s="12">
        <f>E22/B22-1</f>
        <v/>
      </c>
      <c r="G22" s="4">
        <f>IF(ABS(F22)&lt;0.35,"✓ підтверджено","⚠ ЦИФРІ НЕ ДОВІРЯТИ")</f>
        <v/>
      </c>
    </row>
    <row r="23">
      <c r="A23" s="29" t="inlineStr">
        <is>
          <t>R4.5 Будівельники (в складі R4)</t>
        </is>
      </c>
      <c r="B23" s="28" t="n">
        <v>990</v>
      </c>
      <c r="C23" s="28" t="n">
        <v>410</v>
      </c>
      <c r="D23" s="28" t="n">
        <v>450000</v>
      </c>
      <c r="E23" s="28">
        <f>C23*D23/1000000</f>
        <v/>
      </c>
      <c r="F23" s="16">
        <f>E23/B23-1</f>
        <v/>
      </c>
      <c r="G23" s="29">
        <f>IF(ABS(F23)&lt;0.35,"✓ підтверджено","⚠ ЦИФРІ НЕ ДОВІРЯТИ")</f>
        <v/>
      </c>
    </row>
    <row r="25">
      <c r="A25" s="2" t="inlineStr">
        <is>
          <t>Розбіжність до ±35% — норма. Більше — оцінка зроблена лише одним методом і не перевірена.</t>
        </is>
      </c>
    </row>
  </sheetData>
  <mergeCells count="3">
    <mergeCell ref="A1:K1"/>
    <mergeCell ref="A18:K18"/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2026-08-31T19:29:31Z</dcterms:created>
  <dcterms:modified xsi:type="dcterms:W3CDTF">2026-08-31T19:29:31Z</dcterms:modified>
</cp:coreProperties>
</file>