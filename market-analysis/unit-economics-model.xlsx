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Припущення" sheetId="1" state="visible" r:id="rId1"/>
    <sheet name="2.Юніт-економіка" sheetId="2" state="visible" r:id="rId2"/>
    <sheet name="3.Ринки" sheetId="3" state="visible" r:id="rId3"/>
    <sheet name="4.Матриця рішення" sheetId="4" state="visible" r:id="rId4"/>
    <sheet name="5.P&amp;L 2026-2029" sheetId="5" state="visible" r:id="rId5"/>
    <sheet name="6.Сценарії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#,##0.0"/>
    <numFmt numFmtId="167" formatCode="0.0&quot;x&quot;"/>
  </numFmts>
  <fonts count="8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666666"/>
      <sz val="9"/>
    </font>
    <font>
      <b val="1"/>
      <color rgb="00FFFFFF"/>
      <sz val="11"/>
    </font>
    <font>
      <b val="1"/>
    </font>
    <font>
      <b val="1"/>
      <color rgb="00C00000"/>
    </font>
    <font>
      <i val="1"/>
      <color rgb="00C00000"/>
      <sz val="9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1" fontId="0" fillId="3" borderId="1" pivotButton="0" quotePrefix="0" xfId="0"/>
    <xf numFmtId="3" fontId="0" fillId="3" borderId="1" pivotButton="0" quotePrefix="0" xfId="0"/>
    <xf numFmtId="9" fontId="0" fillId="3" borderId="1" pivotButton="0" quotePrefix="0" xfId="0"/>
    <xf numFmtId="1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" fontId="0" fillId="4" borderId="1" pivotButton="0" quotePrefix="0" xfId="0"/>
    <xf numFmtId="3" fontId="0" fillId="4" borderId="1" pivotButton="0" quotePrefix="0" xfId="0"/>
    <xf numFmtId="165" fontId="0" fillId="4" borderId="1" pivotButton="0" quotePrefix="0" xfId="0"/>
    <xf numFmtId="1" fontId="0" fillId="5" borderId="1" pivotButton="0" quotePrefix="0" xfId="0"/>
    <xf numFmtId="3" fontId="0" fillId="5" borderId="1" pivotButton="0" quotePrefix="0" xfId="0"/>
    <xf numFmtId="165" fontId="0" fillId="5" borderId="1" pivotButton="0" quotePrefix="0" xfId="0"/>
    <xf numFmtId="0" fontId="4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9" fontId="0" fillId="5" borderId="1" pivotButton="0" quotePrefix="0" xfId="0"/>
    <xf numFmtId="0" fontId="0" fillId="5" borderId="1" pivotButton="0" quotePrefix="0" xfId="0"/>
    <xf numFmtId="164" fontId="0" fillId="4" borderId="1" pivotButton="0" quotePrefix="0" xfId="0"/>
    <xf numFmtId="9" fontId="0" fillId="4" borderId="1" pivotButton="0" quotePrefix="0" xfId="0"/>
    <xf numFmtId="0" fontId="0" fillId="4" borderId="1" pivotButton="0" quotePrefix="0" xfId="0"/>
    <xf numFmtId="9" fontId="0" fillId="0" borderId="1" pivotButton="0" quotePrefix="0" xfId="0"/>
    <xf numFmtId="0" fontId="4" fillId="6" borderId="1" pivotButton="0" quotePrefix="0" xfId="0"/>
    <xf numFmtId="3" fontId="4" fillId="6" borderId="1" pivotButton="0" quotePrefix="0" xfId="0"/>
    <xf numFmtId="1" fontId="4" fillId="6" borderId="1" pivotButton="0" quotePrefix="0" xfId="0"/>
    <xf numFmtId="0" fontId="5" fillId="0" borderId="0" pivotButton="0" quotePrefix="0" xfId="0"/>
    <xf numFmtId="2" fontId="4" fillId="4" borderId="1" pivotButton="0" quotePrefix="0" xfId="0"/>
    <xf numFmtId="2" fontId="4" fillId="0" borderId="1" pivotButton="0" quotePrefix="0" xfId="0"/>
    <xf numFmtId="2" fontId="4" fillId="5" borderId="1" pivotButton="0" quotePrefix="0" xfId="0"/>
    <xf numFmtId="0" fontId="6" fillId="0" borderId="0" pivotButton="0" quotePrefix="0" xfId="0"/>
    <xf numFmtId="166" fontId="0" fillId="0" borderId="1" pivotButton="0" quotePrefix="0" xfId="0"/>
    <xf numFmtId="166" fontId="4" fillId="6" borderId="1" pivotButton="0" quotePrefix="0" xfId="0"/>
    <xf numFmtId="9" fontId="4" fillId="6" borderId="1" pivotButton="0" quotePrefix="0" xfId="0"/>
    <xf numFmtId="166" fontId="0" fillId="0" borderId="0" pivotButton="0" quotePrefix="0" xfId="0"/>
    <xf numFmtId="0" fontId="0" fillId="6" borderId="1" pivotButton="0" quotePrefix="0" xfId="0"/>
    <xf numFmtId="165" fontId="4" fillId="6" borderId="1" pivotButton="0" quotePrefix="0" xfId="0"/>
    <xf numFmtId="3" fontId="0" fillId="6" borderId="1" pivotButton="0" quotePrefix="0" xfId="0"/>
    <xf numFmtId="0" fontId="7" fillId="0" borderId="0" pivotButton="0" quotePrefix="0" xfId="0"/>
    <xf numFmtId="167" fontId="4" fillId="4" borderId="1" pivotButton="0" quotePrefix="0" xfId="0"/>
    <xf numFmtId="0" fontId="0" fillId="0" borderId="0" applyAlignment="1" pivotButton="0" quotePrefix="0" xfId="0">
      <alignment horizontal="center"/>
    </xf>
    <xf numFmtId="166" fontId="4" fillId="4" borderId="0" pivotButton="0" quotePrefix="0" xfId="0"/>
    <xf numFmtId="2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46" customWidth="1" min="6" max="6"/>
  </cols>
  <sheetData>
    <row r="1">
      <c r="A1" s="1" t="inlineStr">
        <is>
          <t>ПРИПУЩЕННЯ МОДЕЛІ — жовті комірки редагуються, решта рахується формулами</t>
        </is>
      </c>
    </row>
    <row r="2">
      <c r="A2" s="2" t="inlineStr">
        <is>
          <t>Змінюйте ЛИШЕ жовті комірки. Усі розрахунки на інших аркушах підтягнуться автоматично.</t>
        </is>
      </c>
    </row>
    <row r="4" ht="30" customHeight="1">
      <c r="A4" s="3" t="inlineStr">
        <is>
          <t>Параметр</t>
        </is>
      </c>
      <c r="B4" s="3" t="inlineStr">
        <is>
          <t>2026</t>
        </is>
      </c>
      <c r="C4" s="3" t="inlineStr">
        <is>
          <t>2027</t>
        </is>
      </c>
      <c r="D4" s="3" t="inlineStr">
        <is>
          <t>2028</t>
        </is>
      </c>
      <c r="E4" s="3" t="inlineStr">
        <is>
          <t>2029</t>
        </is>
      </c>
      <c r="F4" s="3" t="inlineStr">
        <is>
          <t>Джерело / коментар</t>
        </is>
      </c>
    </row>
    <row r="5">
      <c r="A5" s="4" t="inlineStr">
        <is>
          <t>Курс USD/UAH (середній за рік)</t>
        </is>
      </c>
      <c r="B5" s="5" t="n">
        <v>45</v>
      </c>
      <c r="C5" s="5" t="n">
        <v>47.5</v>
      </c>
      <c r="D5" s="5" t="n">
        <v>49.5</v>
      </c>
      <c r="E5" s="5" t="n">
        <v>51.5</v>
      </c>
      <c r="F5" s="6" t="inlineStr">
        <is>
          <t>НБУ, серпень 2026: 44,5-45,0; прогноз кін.2026: 45,4-46,2</t>
        </is>
      </c>
    </row>
    <row r="6">
      <c r="A6" s="4" t="inlineStr">
        <is>
          <t>Робочих днів на рік, польова бригада</t>
        </is>
      </c>
      <c r="B6" s="7" t="n">
        <v>230</v>
      </c>
      <c r="C6" s="7" t="n">
        <v>230</v>
      </c>
      <c r="D6" s="7" t="n">
        <v>230</v>
      </c>
      <c r="E6" s="7" t="n">
        <v>230</v>
      </c>
      <c r="F6" s="6" t="inlineStr">
        <is>
          <t>250 календарних мінус відпустки/лікарняні</t>
        </is>
      </c>
    </row>
    <row r="7">
      <c r="A7" s="4" t="inlineStr">
        <is>
          <t>Робочих днів на рік, бурова бригада</t>
        </is>
      </c>
      <c r="B7" s="7" t="n">
        <v>210</v>
      </c>
      <c r="C7" s="7" t="n">
        <v>210</v>
      </c>
      <c r="D7" s="7" t="n">
        <v>210</v>
      </c>
      <c r="E7" s="7" t="n">
        <v>210</v>
      </c>
      <c r="F7" s="6" t="inlineStr">
        <is>
          <t>нижче через сезонність і доступ на майданчики</t>
        </is>
      </c>
    </row>
    <row r="8">
      <c r="A8" s="4" t="inlineStr">
        <is>
          <t>Оплачуваних годин на IT-інженера</t>
        </is>
      </c>
      <c r="B8" s="7" t="n">
        <v>1459</v>
      </c>
      <c r="C8" s="7" t="n">
        <v>1459</v>
      </c>
      <c r="D8" s="7" t="n">
        <v>1459</v>
      </c>
      <c r="E8" s="7" t="n">
        <v>1459</v>
      </c>
      <c r="F8" s="6" t="inlineStr">
        <is>
          <t>1 780 доступних x 82% utilization</t>
        </is>
      </c>
    </row>
    <row r="10">
      <c r="A10" s="1" t="inlineStr">
        <is>
          <t>A. ТОПОГРАФО-ГЕОДЕЗИЧНА БРИГАДА (2 особи + авто + GNSS/тахеометр/дрон)</t>
        </is>
      </c>
    </row>
    <row r="11" ht="30" customHeight="1">
      <c r="A11" s="3" t="inlineStr">
        <is>
          <t>Стаття</t>
        </is>
      </c>
      <c r="B11" s="3" t="inlineStr">
        <is>
          <t>Значення</t>
        </is>
      </c>
      <c r="C11" s="3" t="inlineStr">
        <is>
          <t>Од.</t>
        </is>
      </c>
      <c r="D11" s="3" t="inlineStr"/>
      <c r="E11" s="3" t="inlineStr"/>
      <c r="F11" s="3" t="inlineStr">
        <is>
          <t>Коментар</t>
        </is>
      </c>
    </row>
    <row r="12">
      <c r="A12" s="4" t="inlineStr">
        <is>
          <t>Денна ставка клієнту (середня по портфелю)</t>
        </is>
      </c>
      <c r="B12" s="8" t="n">
        <v>18000</v>
      </c>
      <c r="C12" s="6" t="inlineStr">
        <is>
          <t>грн/день</t>
        </is>
      </c>
      <c r="D12" s="6" t="inlineStr"/>
      <c r="E12" s="6" t="inlineStr"/>
      <c r="F12" s="6" t="inlineStr">
        <is>
          <t>ринкова топозйомка М1:500 в перерахунку на бригадо-день</t>
        </is>
      </c>
    </row>
    <row r="13">
      <c r="A13" s="4" t="inlineStr">
        <is>
          <t>Utilization — поточний стан</t>
        </is>
      </c>
      <c r="B13" s="9" t="n">
        <v>0.62</v>
      </c>
      <c r="C13" s="6" t="inlineStr">
        <is>
          <t>%</t>
        </is>
      </c>
      <c r="D13" s="6" t="inlineStr"/>
      <c r="E13" s="6" t="inlineStr"/>
      <c r="F13" s="6" t="inlineStr">
        <is>
          <t>погода, переїзди, простої, зимовий спад</t>
        </is>
      </c>
    </row>
    <row r="14">
      <c r="A14" s="4" t="inlineStr">
        <is>
          <t>Utilization — цільовий</t>
        </is>
      </c>
      <c r="B14" s="9" t="n">
        <v>0.75</v>
      </c>
      <c r="C14" s="6" t="inlineStr">
        <is>
          <t>%</t>
        </is>
      </c>
      <c r="D14" s="6" t="inlineStr"/>
      <c r="E14" s="6" t="inlineStr"/>
      <c r="F14" s="6" t="inlineStr">
        <is>
          <t>досяжно диспетчеризацією і мінімальним чеком</t>
        </is>
      </c>
    </row>
    <row r="15">
      <c r="A15" s="4" t="inlineStr">
        <is>
          <t>ФОП бригади (інженер 52к + технік 30к), cost-to-company</t>
        </is>
      </c>
      <c r="B15" s="8" t="n">
        <v>984000</v>
      </c>
      <c r="C15" s="6" t="inlineStr">
        <is>
          <t>грн/рік</t>
        </is>
      </c>
      <c r="D15" s="6" t="inlineStr"/>
      <c r="E15" s="6" t="inlineStr"/>
      <c r="F15" s="6" t="inlineStr">
        <is>
          <t>82 000 грн/міс з податками</t>
        </is>
      </c>
    </row>
    <row r="16">
      <c r="A16" s="4" t="inlineStr">
        <is>
          <t>Камеральна обробка (0,4 FTE x 55 000)</t>
        </is>
      </c>
      <c r="B16" s="8" t="n">
        <v>264000</v>
      </c>
      <c r="C16" s="6" t="inlineStr">
        <is>
          <t>грн/рік</t>
        </is>
      </c>
      <c r="D16" s="6" t="inlineStr"/>
      <c r="E16" s="6" t="inlineStr"/>
      <c r="F16" s="6" t="inlineStr"/>
    </row>
    <row r="17">
      <c r="A17" s="4" t="inlineStr">
        <is>
          <t>Авто: лізинг + ПММ + ТО</t>
        </is>
      </c>
      <c r="B17" s="8" t="n">
        <v>264000</v>
      </c>
      <c r="C17" s="6" t="inlineStr">
        <is>
          <t>грн/рік</t>
        </is>
      </c>
      <c r="D17" s="6" t="inlineStr"/>
      <c r="E17" s="6" t="inlineStr"/>
      <c r="F17" s="6" t="inlineStr">
        <is>
          <t>22 000 грн/міс</t>
        </is>
      </c>
    </row>
    <row r="18">
      <c r="A18" s="4" t="inlineStr">
        <is>
          <t>Амортизація приладів (GNSS+тахеометр+дрон ~$55к / 5 р.)</t>
        </is>
      </c>
      <c r="B18" s="8" t="n">
        <v>495000</v>
      </c>
      <c r="C18" s="6" t="inlineStr">
        <is>
          <t>грн/рік</t>
        </is>
      </c>
      <c r="D18" s="6" t="inlineStr"/>
      <c r="E18" s="6" t="inlineStr"/>
      <c r="F18" s="6" t="inlineStr"/>
    </row>
    <row r="19">
      <c r="A19" s="4" t="inlineStr">
        <is>
          <t>ПЗ, ліцензії, повірки, страхування</t>
        </is>
      </c>
      <c r="B19" s="8" t="n">
        <v>96000</v>
      </c>
      <c r="C19" s="6" t="inlineStr">
        <is>
          <t>грн/рік</t>
        </is>
      </c>
      <c r="D19" s="6" t="inlineStr"/>
      <c r="E19" s="6" t="inlineStr"/>
      <c r="F19" s="6" t="inlineStr"/>
    </row>
    <row r="20">
      <c r="A20" s="4" t="inlineStr">
        <is>
          <t>Змінні витрати на польовий день (добові, житло, витратні)</t>
        </is>
      </c>
      <c r="B20" s="8" t="n">
        <v>1400</v>
      </c>
      <c r="C20" s="6" t="inlineStr">
        <is>
          <t>грн/день</t>
        </is>
      </c>
      <c r="D20" s="6" t="inlineStr"/>
      <c r="E20" s="6" t="inlineStr"/>
      <c r="F20" s="6" t="inlineStr"/>
    </row>
    <row r="22">
      <c r="A22" s="1" t="inlineStr">
        <is>
          <t>B. ІНЖЕНЕРНО-ГЕОЛОГІЧНА (БУРОВА) БРИГАДА (3 особи + УРБ + лабораторія)</t>
        </is>
      </c>
    </row>
    <row r="23" ht="30" customHeight="1">
      <c r="A23" s="3" t="inlineStr">
        <is>
          <t>Стаття</t>
        </is>
      </c>
      <c r="B23" s="3" t="inlineStr">
        <is>
          <t>Значення</t>
        </is>
      </c>
      <c r="C23" s="3" t="inlineStr">
        <is>
          <t>Од.</t>
        </is>
      </c>
      <c r="D23" s="3" t="inlineStr"/>
      <c r="E23" s="3" t="inlineStr"/>
      <c r="F23" s="3" t="inlineStr">
        <is>
          <t>Коментар</t>
        </is>
      </c>
    </row>
    <row r="24">
      <c r="A24" s="4" t="inlineStr">
        <is>
          <t>Денна ставка (буріння + звіт)</t>
        </is>
      </c>
      <c r="B24" s="8" t="n">
        <v>32000</v>
      </c>
      <c r="C24" s="6" t="inlineStr">
        <is>
          <t>грн/день</t>
        </is>
      </c>
      <c r="D24" s="6" t="inlineStr"/>
      <c r="E24" s="6" t="inlineStr"/>
      <c r="F24" s="6" t="inlineStr">
        <is>
          <t>30-60 п.м./день, 600-900 грн/п.м.</t>
        </is>
      </c>
    </row>
    <row r="25">
      <c r="A25" s="4" t="inlineStr">
        <is>
          <t>Utilization — поточний стан</t>
        </is>
      </c>
      <c r="B25" s="9" t="n">
        <v>0.55</v>
      </c>
      <c r="C25" s="6" t="inlineStr">
        <is>
          <t>%</t>
        </is>
      </c>
      <c r="D25" s="6" t="inlineStr"/>
      <c r="E25" s="6" t="inlineStr"/>
      <c r="F25" s="6" t="inlineStr"/>
    </row>
    <row r="26">
      <c r="A26" s="4" t="inlineStr">
        <is>
          <t>Utilization — цільовий</t>
        </is>
      </c>
      <c r="B26" s="9" t="n">
        <v>0.7</v>
      </c>
      <c r="C26" s="6" t="inlineStr">
        <is>
          <t>%</t>
        </is>
      </c>
      <c r="D26" s="6" t="inlineStr"/>
      <c r="E26" s="6" t="inlineStr"/>
      <c r="F26" s="6" t="inlineStr"/>
    </row>
    <row r="27">
      <c r="A27" s="4" t="inlineStr">
        <is>
          <t>ФОП бригади (бурмайстер 60к + 2 x 32к)</t>
        </is>
      </c>
      <c r="B27" s="8" t="n">
        <v>1488000</v>
      </c>
      <c r="C27" s="6" t="inlineStr">
        <is>
          <t>грн/рік</t>
        </is>
      </c>
      <c r="D27" s="6" t="inlineStr"/>
      <c r="E27" s="6" t="inlineStr"/>
      <c r="F27" s="6" t="inlineStr"/>
    </row>
    <row r="28">
      <c r="A28" s="4" t="inlineStr">
        <is>
          <t>Інженер-геолог + камеральний звіт (0,6 FTE x 70к)</t>
        </is>
      </c>
      <c r="B28" s="8" t="n">
        <v>504000</v>
      </c>
      <c r="C28" s="6" t="inlineStr">
        <is>
          <t>грн/рік</t>
        </is>
      </c>
      <c r="D28" s="6" t="inlineStr"/>
      <c r="E28" s="6" t="inlineStr"/>
      <c r="F28" s="6" t="inlineStr"/>
    </row>
    <row r="29">
      <c r="A29" s="4" t="inlineStr">
        <is>
          <t>Амортизація/лізинг УРБ + інструмент (~$90к / 6 р.)</t>
        </is>
      </c>
      <c r="B29" s="8" t="n">
        <v>675000</v>
      </c>
      <c r="C29" s="6" t="inlineStr">
        <is>
          <t>грн/рік</t>
        </is>
      </c>
      <c r="D29" s="6" t="inlineStr"/>
      <c r="E29" s="6" t="inlineStr"/>
      <c r="F29" s="6" t="inlineStr"/>
    </row>
    <row r="30">
      <c r="A30" s="4" t="inlineStr">
        <is>
          <t>Ремонт і ТО установки</t>
        </is>
      </c>
      <c r="B30" s="8" t="n">
        <v>240000</v>
      </c>
      <c r="C30" s="6" t="inlineStr">
        <is>
          <t>грн/рік</t>
        </is>
      </c>
      <c r="D30" s="6" t="inlineStr"/>
      <c r="E30" s="6" t="inlineStr"/>
      <c r="F30" s="6" t="inlineStr"/>
    </row>
    <row r="31">
      <c r="A31" s="4" t="inlineStr">
        <is>
          <t>ПЗ, дозволи, ліцензії, страхування</t>
        </is>
      </c>
      <c r="B31" s="8" t="n">
        <v>84000</v>
      </c>
      <c r="C31" s="6" t="inlineStr">
        <is>
          <t>грн/рік</t>
        </is>
      </c>
      <c r="D31" s="6" t="inlineStr"/>
      <c r="E31" s="6" t="inlineStr"/>
      <c r="F31" s="6" t="inlineStr"/>
    </row>
    <row r="32">
      <c r="A32" s="4" t="inlineStr">
        <is>
          <t>Змінні на день (ПММ, обсадка, коронки, добові)</t>
        </is>
      </c>
      <c r="B32" s="8" t="n">
        <v>5000</v>
      </c>
      <c r="C32" s="6" t="inlineStr">
        <is>
          <t>грн/день</t>
        </is>
      </c>
      <c r="D32" s="6" t="inlineStr"/>
      <c r="E32" s="6" t="inlineStr"/>
      <c r="F32" s="6" t="inlineStr"/>
    </row>
    <row r="33">
      <c r="A33" s="4" t="inlineStr">
        <is>
          <t>Лабораторія (аутсорс), % від виручки</t>
        </is>
      </c>
      <c r="B33" s="9" t="n">
        <v>0.12</v>
      </c>
      <c r="C33" s="6" t="inlineStr">
        <is>
          <t>%</t>
        </is>
      </c>
      <c r="D33" s="6" t="inlineStr"/>
      <c r="E33" s="6" t="inlineStr"/>
      <c r="F33" s="6" t="inlineStr"/>
    </row>
    <row r="35">
      <c r="A35" s="1" t="inlineStr">
        <is>
          <t>C. IT-ІНЖЕНЕР (собівартість оплачуваної години)</t>
        </is>
      </c>
    </row>
    <row r="36" ht="30" customHeight="1">
      <c r="A36" s="3" t="inlineStr">
        <is>
          <t>Стаття</t>
        </is>
      </c>
      <c r="B36" s="3" t="inlineStr">
        <is>
          <t>Значення</t>
        </is>
      </c>
      <c r="C36" s="3" t="inlineStr">
        <is>
          <t>Од.</t>
        </is>
      </c>
      <c r="D36" s="3" t="inlineStr"/>
      <c r="E36" s="3" t="inlineStr"/>
      <c r="F36" s="3" t="inlineStr">
        <is>
          <t>Коментар</t>
        </is>
      </c>
    </row>
    <row r="37">
      <c r="A37" s="4" t="inlineStr">
        <is>
          <t>ЗП, cost-to-company (mix middle/senior)</t>
        </is>
      </c>
      <c r="B37" s="8" t="n">
        <v>3100</v>
      </c>
      <c r="C37" s="6" t="inlineStr">
        <is>
          <t>$/міс</t>
        </is>
      </c>
      <c r="D37" s="6" t="inlineStr"/>
      <c r="E37" s="6" t="inlineStr"/>
      <c r="F37" s="6" t="inlineStr">
        <is>
          <t>DOU/ринок 2026</t>
        </is>
      </c>
    </row>
    <row r="38">
      <c r="A38" s="4" t="inlineStr">
        <is>
          <t>Податки, ЄСВ, адміністрування ФОП</t>
        </is>
      </c>
      <c r="B38" s="9" t="n">
        <v>0.06</v>
      </c>
      <c r="C38" s="6" t="inlineStr">
        <is>
          <t>% від ЗП</t>
        </is>
      </c>
      <c r="D38" s="6" t="inlineStr"/>
      <c r="E38" s="6" t="inlineStr"/>
      <c r="F38" s="6" t="inlineStr"/>
    </row>
    <row r="39">
      <c r="A39" s="4" t="inlineStr">
        <is>
          <t>Робоче місце, обладнання, ПЗ, навчання</t>
        </is>
      </c>
      <c r="B39" s="8" t="n">
        <v>450</v>
      </c>
      <c r="C39" s="6" t="inlineStr">
        <is>
          <t>$/міс</t>
        </is>
      </c>
      <c r="D39" s="6" t="inlineStr"/>
      <c r="E39" s="6" t="inlineStr"/>
      <c r="F39" s="6" t="inlineStr"/>
    </row>
    <row r="40">
      <c r="A40" s="4" t="inlineStr">
        <is>
          <t>Розподіл non-billable ролей (тімлід/PM/QA-менеджмент)</t>
        </is>
      </c>
      <c r="B40" s="9" t="n">
        <v>0.18</v>
      </c>
      <c r="C40" s="6" t="inlineStr">
        <is>
          <t>% від ЗП</t>
        </is>
      </c>
      <c r="D40" s="6" t="inlineStr"/>
      <c r="E40" s="6" t="inlineStr"/>
      <c r="F40" s="6" t="inlineStr"/>
    </row>
    <row r="42">
      <c r="A42" s="1" t="inlineStr">
        <is>
          <t>D. ПІДПИСКОВІ МОДЕЛІ</t>
        </is>
      </c>
    </row>
    <row r="43" ht="30" customHeight="1">
      <c r="A43" s="3" t="inlineStr">
        <is>
          <t>Модель</t>
        </is>
      </c>
      <c r="B43" s="3" t="inlineStr">
        <is>
          <t>ARPA $/рік</t>
        </is>
      </c>
      <c r="C43" s="3" t="inlineStr">
        <is>
          <t>Gross margin</t>
        </is>
      </c>
      <c r="D43" s="3" t="inlineStr">
        <is>
          <t>CAC $</t>
        </is>
      </c>
      <c r="E43" s="3" t="inlineStr">
        <is>
          <t>Річний churn</t>
        </is>
      </c>
      <c r="F43" s="3" t="inlineStr">
        <is>
          <t>Коментар</t>
        </is>
      </c>
    </row>
    <row r="44">
      <c r="A44" s="4" t="inlineStr">
        <is>
          <t>D1 Вертикальний SaaS — мережі й інфраструктурні активи</t>
        </is>
      </c>
      <c r="B44" s="8" t="n">
        <v>14000</v>
      </c>
      <c r="C44" s="9" t="n">
        <v>0.78</v>
      </c>
      <c r="D44" s="8" t="n">
        <v>8500</v>
      </c>
      <c r="E44" s="9" t="n">
        <v>0.12</v>
      </c>
      <c r="F44" s="6" t="inlineStr">
        <is>
          <t>ентерпрайз-цикл 5-8 міс</t>
        </is>
      </c>
    </row>
    <row r="45">
      <c r="A45" s="4" t="inlineStr">
        <is>
          <t>D2 DaaS-моніторинг обʼєкта (дрон + фотограмметрія + дашборд)</t>
        </is>
      </c>
      <c r="B45" s="8" t="n">
        <v>6670</v>
      </c>
      <c r="C45" s="9" t="n">
        <v>0.72</v>
      </c>
      <c r="D45" s="8" t="n">
        <v>1800</v>
      </c>
      <c r="E45" s="9" t="n">
        <v>0.2</v>
      </c>
      <c r="F45" s="6" t="inlineStr">
        <is>
          <t>продається наявним клієнтам геодезії → CAC мінімальний</t>
        </is>
      </c>
    </row>
    <row r="46">
      <c r="A46" s="4" t="inlineStr">
        <is>
          <t>D3 Агро-продукт (для порівняння)</t>
        </is>
      </c>
      <c r="B46" s="8" t="n">
        <v>9000</v>
      </c>
      <c r="C46" s="9" t="n">
        <v>0.7</v>
      </c>
      <c r="D46" s="8" t="n">
        <v>16000</v>
      </c>
      <c r="E46" s="9" t="n">
        <v>0.22</v>
      </c>
      <c r="F46" s="6" t="inlineStr">
        <is>
          <t>Cropio/Syngenta, OneSoil, Soft.Farm — ринок зайнятий</t>
        </is>
      </c>
    </row>
  </sheetData>
  <mergeCells count="5">
    <mergeCell ref="A35:H35"/>
    <mergeCell ref="A10:H10"/>
    <mergeCell ref="A42:H42"/>
    <mergeCell ref="A1:H1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50" customWidth="1" min="7" max="7"/>
  </cols>
  <sheetData>
    <row r="1">
      <c r="A1" s="1" t="inlineStr">
        <is>
          <t>ЮНІТ-ЕКОНОМІКА ЗА НАПРЯМКАМИ — усе рахується з аркуша «1.Припущення»</t>
        </is>
      </c>
    </row>
    <row r="3">
      <c r="A3" s="1" t="inlineStr">
        <is>
          <t>A. ТОПОГРАФО-ГЕОДЕЗИЧНА БРИГАДА — прибуток на 1 бригаду на рік</t>
        </is>
      </c>
    </row>
    <row r="4" ht="30" customHeight="1">
      <c r="A4" s="3" t="inlineStr">
        <is>
          <t>Сценарій</t>
        </is>
      </c>
      <c r="B4" s="3" t="inlineStr">
        <is>
          <t>Оплач. днів</t>
        </is>
      </c>
      <c r="C4" s="3" t="inlineStr">
        <is>
          <t>Виручка, грн</t>
        </is>
      </c>
      <c r="D4" s="3" t="inlineStr">
        <is>
          <t>Витрати, грн</t>
        </is>
      </c>
      <c r="E4" s="3" t="inlineStr">
        <is>
          <t>Валовий приб.</t>
        </is>
      </c>
      <c r="F4" s="3" t="inlineStr">
        <is>
          <t>GM %</t>
        </is>
      </c>
      <c r="G4" s="3" t="inlineStr">
        <is>
          <t>ВП на 1 FTE, $</t>
        </is>
      </c>
    </row>
    <row r="5">
      <c r="A5" s="4" t="inlineStr">
        <is>
          <t>Поточний стан: util 62%, 18 000 грн/день</t>
        </is>
      </c>
      <c r="B5" s="10">
        <f>'1.Припущення'!B6*'1.Припущення'!B13</f>
        <v/>
      </c>
      <c r="C5" s="11">
        <f>B5*'1.Припущення'!B12</f>
        <v/>
      </c>
      <c r="D5" s="11">
        <f>('1.Припущення'!B15+'1.Припущення'!B16+'1.Припущення'!B17+'1.Припущення'!B18+'1.Припущення'!B19)+B5*'1.Припущення'!B20</f>
        <v/>
      </c>
      <c r="E5" s="11">
        <f>C5-D5</f>
        <v/>
      </c>
      <c r="F5" s="12">
        <f>E5/C5</f>
        <v/>
      </c>
      <c r="G5" s="11">
        <f>E5/2.4/'1.Припущення'!B5</f>
        <v/>
      </c>
    </row>
    <row r="6">
      <c r="A6" s="4" t="inlineStr">
        <is>
          <t>Ціль-1: util 75%, ставка без змін</t>
        </is>
      </c>
      <c r="B6" s="13">
        <f>'1.Припущення'!B6*'1.Припущення'!B14</f>
        <v/>
      </c>
      <c r="C6" s="14">
        <f>B6*'1.Припущення'!B12</f>
        <v/>
      </c>
      <c r="D6" s="14">
        <f>('1.Припущення'!B15+'1.Припущення'!B16+'1.Припущення'!B17+'1.Припущення'!B18+'1.Припущення'!B19)+B6*'1.Припущення'!B20</f>
        <v/>
      </c>
      <c r="E6" s="14">
        <f>C6-D6</f>
        <v/>
      </c>
      <c r="F6" s="15">
        <f>E6/C6</f>
        <v/>
      </c>
      <c r="G6" s="14">
        <f>E6/2.4/'1.Припущення'!B5</f>
        <v/>
      </c>
    </row>
    <row r="7">
      <c r="A7" s="4" t="inlineStr">
        <is>
          <t>Ціль-2: util 75% + ставка 22 000 (+20%)</t>
        </is>
      </c>
      <c r="B7" s="13">
        <f>'1.Припущення'!B6*'1.Припущення'!B14</f>
        <v/>
      </c>
      <c r="C7" s="14">
        <f>B7*22000</f>
        <v/>
      </c>
      <c r="D7" s="14">
        <f>('1.Припущення'!B15+'1.Припущення'!B16+'1.Припущення'!B17+'1.Припущення'!B18+'1.Припущення'!B19)+B7*'1.Припущення'!B20</f>
        <v/>
      </c>
      <c r="E7" s="14">
        <f>C7-D7</f>
        <v/>
      </c>
      <c r="F7" s="15">
        <f>E7/C7</f>
        <v/>
      </c>
      <c r="G7" s="14">
        <f>E7/2.4/'1.Припущення'!B5</f>
        <v/>
      </c>
    </row>
    <row r="8">
      <c r="A8" s="4" t="inlineStr">
        <is>
          <t>Стрес: util 50%, ставка 16 000</t>
        </is>
      </c>
      <c r="B8" s="16">
        <f>'1.Припущення'!B6*0.5</f>
        <v/>
      </c>
      <c r="C8" s="17">
        <f>B8*16000</f>
        <v/>
      </c>
      <c r="D8" s="17">
        <f>('1.Припущення'!B15+'1.Припущення'!B16+'1.Припущення'!B17+'1.Припущення'!B18+'1.Припущення'!B19)+B8*'1.Припущення'!B20</f>
        <v/>
      </c>
      <c r="E8" s="17">
        <f>C8-D8</f>
        <v/>
      </c>
      <c r="F8" s="18">
        <f>E8/C8</f>
        <v/>
      </c>
      <c r="G8" s="17">
        <f>E8/2.4/'1.Припущення'!B5</f>
        <v/>
      </c>
    </row>
    <row r="9">
      <c r="A9" s="19" t="inlineStr">
        <is>
          <t>Точка беззбитковості, днів →</t>
        </is>
      </c>
      <c r="B9" s="20">
        <f>('1.Припущення'!B15+'1.Припущення'!B16+'1.Припущення'!B17+'1.Припущення'!B18+'1.Припущення'!B19)/('1.Припущення'!B12-'1.Припущення'!B20)</f>
        <v/>
      </c>
      <c r="C9" s="21">
        <f>B9/'1.Припущення'!B6</f>
        <v/>
      </c>
      <c r="D9" s="2" t="inlineStr">
        <is>
          <t>utilization — нижче цього бригада збиткова</t>
        </is>
      </c>
    </row>
    <row r="11">
      <c r="A11" s="1" t="inlineStr">
        <is>
          <t>B. БУРОВА БРИГАДА — прибуток на 1 установку на рік</t>
        </is>
      </c>
    </row>
    <row r="12" ht="30" customHeight="1">
      <c r="A12" s="3" t="inlineStr">
        <is>
          <t>Сценарій</t>
        </is>
      </c>
      <c r="B12" s="3" t="inlineStr">
        <is>
          <t>Оплач. днів</t>
        </is>
      </c>
      <c r="C12" s="3" t="inlineStr">
        <is>
          <t>Виручка, грн</t>
        </is>
      </c>
      <c r="D12" s="3" t="inlineStr">
        <is>
          <t>Витрати, грн</t>
        </is>
      </c>
      <c r="E12" s="3" t="inlineStr">
        <is>
          <t>Валовий приб.</t>
        </is>
      </c>
      <c r="F12" s="3" t="inlineStr">
        <is>
          <t>GM %</t>
        </is>
      </c>
      <c r="G12" s="3" t="inlineStr">
        <is>
          <t>ВП на 1 FTE, $</t>
        </is>
      </c>
    </row>
    <row r="13">
      <c r="A13" s="4" t="inlineStr">
        <is>
          <t>Поточний стан: util 55%, 32 000 грн/день</t>
        </is>
      </c>
      <c r="B13" s="16">
        <f>'1.Припущення'!B7*'1.Припущення'!B25</f>
        <v/>
      </c>
      <c r="C13" s="17">
        <f>B13*'1.Припущення'!B24</f>
        <v/>
      </c>
      <c r="D13" s="17">
        <f>('1.Припущення'!B27+'1.Припущення'!B28+'1.Припущення'!B29+'1.Припущення'!B30+'1.Припущення'!B31)+B13*'1.Припущення'!B32+C13*'1.Припущення'!B33</f>
        <v/>
      </c>
      <c r="E13" s="17">
        <f>C13-D13</f>
        <v/>
      </c>
      <c r="F13" s="18">
        <f>E13/C13</f>
        <v/>
      </c>
      <c r="G13" s="17">
        <f>E13/3.6/'1.Припущення'!B5</f>
        <v/>
      </c>
    </row>
    <row r="14">
      <c r="A14" s="4" t="inlineStr">
        <is>
          <t>Ціль-1: util 70%, ставка без змін</t>
        </is>
      </c>
      <c r="B14" s="10">
        <f>'1.Припущення'!B7*'1.Припущення'!B26</f>
        <v/>
      </c>
      <c r="C14" s="11">
        <f>B14*'1.Припущення'!B24</f>
        <v/>
      </c>
      <c r="D14" s="11">
        <f>('1.Припущення'!B27+'1.Припущення'!B28+'1.Припущення'!B29+'1.Припущення'!B30+'1.Припущення'!B31)+B14*'1.Припущення'!B32+C14*'1.Припущення'!B33</f>
        <v/>
      </c>
      <c r="E14" s="11">
        <f>C14-D14</f>
        <v/>
      </c>
      <c r="F14" s="12">
        <f>E14/C14</f>
        <v/>
      </c>
      <c r="G14" s="11">
        <f>E14/3.6/'1.Припущення'!B5</f>
        <v/>
      </c>
    </row>
    <row r="15">
      <c r="A15" s="4" t="inlineStr">
        <is>
          <t>Ціль-2: util 70% + ставка 38 000 (+19%)</t>
        </is>
      </c>
      <c r="B15" s="13">
        <f>'1.Припущення'!B7*'1.Припущення'!B26</f>
        <v/>
      </c>
      <c r="C15" s="14">
        <f>B15*38000</f>
        <v/>
      </c>
      <c r="D15" s="14">
        <f>('1.Припущення'!B27+'1.Припущення'!B28+'1.Припущення'!B29+'1.Припущення'!B30+'1.Припущення'!B31)+B15*'1.Припущення'!B32+C15*'1.Припущення'!B33</f>
        <v/>
      </c>
      <c r="E15" s="14">
        <f>C15-D15</f>
        <v/>
      </c>
      <c r="F15" s="15">
        <f>E15/C15</f>
        <v/>
      </c>
      <c r="G15" s="14">
        <f>E15/3.6/'1.Припущення'!B5</f>
        <v/>
      </c>
    </row>
    <row r="16">
      <c r="A16" s="4" t="inlineStr">
        <is>
          <t>Стрес: util 45%, ставка 30 000</t>
        </is>
      </c>
      <c r="B16" s="16">
        <f>'1.Припущення'!B7*0.45</f>
        <v/>
      </c>
      <c r="C16" s="17">
        <f>B16*30000</f>
        <v/>
      </c>
      <c r="D16" s="17">
        <f>('1.Припущення'!B27+'1.Припущення'!B28+'1.Припущення'!B29+'1.Припущення'!B30+'1.Припущення'!B31)+B16*'1.Припущення'!B32+C16*'1.Припущення'!B33</f>
        <v/>
      </c>
      <c r="E16" s="17">
        <f>C16-D16</f>
        <v/>
      </c>
      <c r="F16" s="18">
        <f>E16/C16</f>
        <v/>
      </c>
      <c r="G16" s="17">
        <f>E16/3.6/'1.Припущення'!B5</f>
        <v/>
      </c>
    </row>
    <row r="17">
      <c r="A17" s="19" t="inlineStr">
        <is>
          <t>Точка беззбитковості, днів →</t>
        </is>
      </c>
      <c r="B17" s="20">
        <f>('1.Припущення'!B27+'1.Припущення'!B28+'1.Припущення'!B29+'1.Припущення'!B30+'1.Припущення'!B31)/('1.Припущення'!B24-'1.Припущення'!B32-'1.Припущення'!B24*'1.Припущення'!B33)</f>
        <v/>
      </c>
      <c r="C17" s="21">
        <f>B17/'1.Припущення'!B7</f>
        <v/>
      </c>
    </row>
    <row r="19">
      <c r="A19" s="1" t="inlineStr">
        <is>
          <t>C. IT-ІНЖЕНЕР — собівартість години і маржа за ринками збуту</t>
        </is>
      </c>
    </row>
    <row r="20">
      <c r="A20" s="19" t="inlineStr">
        <is>
          <t>Повна вартість інженера, $/рік</t>
        </is>
      </c>
      <c r="B20" s="22">
        <f>'1.Припущення'!B37*12*(1+'1.Припущення'!B38+'1.Припущення'!B40)+'1.Припущення'!B39*12</f>
        <v/>
      </c>
    </row>
    <row r="21">
      <c r="A21" s="19" t="inlineStr">
        <is>
          <t>Собівартість 1 оплачуваної години, $</t>
        </is>
      </c>
      <c r="B21" s="23">
        <f>$B$20/'1.Припущення'!B8</f>
        <v/>
      </c>
    </row>
    <row r="22" ht="30" customHeight="1">
      <c r="A22" s="3" t="inlineStr">
        <is>
          <t>Ринок збуту</t>
        </is>
      </c>
      <c r="B22" s="3" t="inlineStr">
        <is>
          <t>Ставка $/год</t>
        </is>
      </c>
      <c r="C22" s="3" t="inlineStr">
        <is>
          <t>ВП $/год</t>
        </is>
      </c>
      <c r="D22" s="3" t="inlineStr">
        <is>
          <t>GM %</t>
        </is>
      </c>
      <c r="E22" s="3" t="inlineStr">
        <is>
          <t>ВП на інженера $/рік</t>
        </is>
      </c>
      <c r="F22" s="3" t="inlineStr"/>
      <c r="G22" s="3" t="inlineStr"/>
    </row>
    <row r="23">
      <c r="A23" s="4" t="inlineStr">
        <is>
          <t>Внутрішній UA, T&amp;M (будівельники / агро / дороги)</t>
        </is>
      </c>
      <c r="B23" s="7" t="n">
        <v>26</v>
      </c>
      <c r="C23" s="24">
        <f>B23-$B$21</f>
        <v/>
      </c>
      <c r="D23" s="25">
        <f>C23/B23</f>
        <v/>
      </c>
      <c r="E23" s="17">
        <f>C23*'1.Припущення'!B8</f>
        <v/>
      </c>
      <c r="F23" s="26" t="inlineStr">
        <is>
          <t>збиткова модель</t>
        </is>
      </c>
    </row>
    <row r="24">
      <c r="A24" s="4" t="inlineStr">
        <is>
          <t>Внутрішній UA, держ- і донорські проєкти</t>
        </is>
      </c>
      <c r="B24" s="7" t="n">
        <v>38</v>
      </c>
      <c r="C24" s="24">
        <f>B24-$B$21</f>
        <v/>
      </c>
      <c r="D24" s="25">
        <f>C24/B24</f>
        <v/>
      </c>
      <c r="E24" s="17">
        <f>C24*'1.Припущення'!B8</f>
        <v/>
      </c>
      <c r="F24" s="26" t="inlineStr">
        <is>
          <t>на межі нуля</t>
        </is>
      </c>
    </row>
    <row r="25">
      <c r="A25" s="4" t="inlineStr">
        <is>
          <t>Експорт EU, geospatial-ніша</t>
        </is>
      </c>
      <c r="B25" s="7" t="n">
        <v>55</v>
      </c>
      <c r="C25" s="27">
        <f>B25-$B$21</f>
        <v/>
      </c>
      <c r="D25" s="28">
        <f>C25/B25</f>
        <v/>
      </c>
      <c r="E25" s="14">
        <f>C25*'1.Припущення'!B8</f>
        <v/>
      </c>
      <c r="F25" s="29" t="inlineStr">
        <is>
          <t>робоча модель</t>
        </is>
      </c>
    </row>
    <row r="26">
      <c r="A26" s="4" t="inlineStr">
        <is>
          <t>Експорт US/UK, geospatial-ніша</t>
        </is>
      </c>
      <c r="B26" s="7" t="n">
        <v>68</v>
      </c>
      <c r="C26" s="27">
        <f>B26-$B$21</f>
        <v/>
      </c>
      <c r="D26" s="28">
        <f>C26/B26</f>
        <v/>
      </c>
      <c r="E26" s="14">
        <f>C26*'1.Припущення'!B8</f>
        <v/>
      </c>
      <c r="F26" s="29" t="inlineStr">
        <is>
          <t>ціль</t>
        </is>
      </c>
    </row>
    <row r="28">
      <c r="A28" s="1" t="inlineStr">
        <is>
          <t>D. ПІДПИСКОВІ МОДЕЛІ — LTV, CAC, payback</t>
        </is>
      </c>
    </row>
    <row r="29" ht="30" customHeight="1">
      <c r="A29" s="3" t="inlineStr">
        <is>
          <t>Модель</t>
        </is>
      </c>
      <c r="B29" s="3" t="inlineStr">
        <is>
          <t>LTV $</t>
        </is>
      </c>
      <c r="C29" s="3" t="inlineStr">
        <is>
          <t>LTV / CAC</t>
        </is>
      </c>
      <c r="D29" s="3" t="inlineStr">
        <is>
          <t>CAC payback, міс</t>
        </is>
      </c>
      <c r="E29" s="3" t="inlineStr">
        <is>
          <t>Клієнтів до беззбитковості*</t>
        </is>
      </c>
      <c r="F29" s="3" t="inlineStr">
        <is>
          <t>Вердикт</t>
        </is>
      </c>
      <c r="G29" s="3" t="inlineStr"/>
    </row>
    <row r="30">
      <c r="A30" s="4" t="inlineStr">
        <is>
          <t>D1 Вертикальний SaaS — мережі й інфраструктура</t>
        </is>
      </c>
      <c r="B30" s="14">
        <f>'1.Припущення'!B44*'1.Припущення'!C44/'1.Припущення'!E44</f>
        <v/>
      </c>
      <c r="C30" s="27">
        <f>B30/'1.Припущення'!D44</f>
        <v/>
      </c>
      <c r="D30" s="27">
        <f>'1.Припущення'!D44/('1.Припущення'!B44*'1.Припущення'!C44/12)</f>
        <v/>
      </c>
      <c r="E30" s="13">
        <f>(8*$B$20+60000)/('1.Припущення'!B44*'1.Припущення'!C44)</f>
        <v/>
      </c>
      <c r="F30" s="29" t="inlineStr">
        <is>
          <t>ІНВЕСТУВАТИ</t>
        </is>
      </c>
    </row>
    <row r="31">
      <c r="A31" s="4" t="inlineStr">
        <is>
          <t>D2 DaaS-моніторинг обʼєкта</t>
        </is>
      </c>
      <c r="B31" s="14">
        <f>'1.Припущення'!B45*'1.Припущення'!C45/'1.Припущення'!E45</f>
        <v/>
      </c>
      <c r="C31" s="27">
        <f>B31/'1.Припущення'!D45</f>
        <v/>
      </c>
      <c r="D31" s="27">
        <f>'1.Припущення'!D45/('1.Припущення'!B45*'1.Припущення'!C45/12)</f>
        <v/>
      </c>
      <c r="E31" s="13">
        <f>(3*$B$20+20000)/('1.Припущення'!B45*'1.Припущення'!C45)</f>
        <v/>
      </c>
      <c r="F31" s="29" t="inlineStr">
        <is>
          <t>ІНВЕСТУВАТИ — найшвидший payback</t>
        </is>
      </c>
    </row>
    <row r="32">
      <c r="A32" s="4" t="inlineStr">
        <is>
          <t>D3 Агро-продукт</t>
        </is>
      </c>
      <c r="B32" s="17">
        <f>'1.Припущення'!B46*'1.Припущення'!C46/'1.Припущення'!E46</f>
        <v/>
      </c>
      <c r="C32" s="24">
        <f>B32/'1.Припущення'!D46</f>
        <v/>
      </c>
      <c r="D32" s="24">
        <f>'1.Припущення'!D46/('1.Припущення'!B46*'1.Припущення'!C46/12)</f>
        <v/>
      </c>
      <c r="E32" s="16">
        <f>(8*$B$20+60000)/('1.Припущення'!B46*'1.Припущення'!C46)</f>
        <v/>
      </c>
      <c r="F32" s="26" t="inlineStr">
        <is>
          <t>НЕ ІНВЕСТУВАТИ</t>
        </is>
      </c>
    </row>
    <row r="33">
      <c r="A33" s="2" t="inlineStr">
        <is>
          <t>* при команді D1/D3 = 8 FTE, D2 = 3 FTE. Орієнтир здорової моделі: LTV/CAC &gt; 3, payback &lt; 12 міс.</t>
        </is>
      </c>
    </row>
  </sheetData>
  <mergeCells count="5">
    <mergeCell ref="A3:H3"/>
    <mergeCell ref="A28:H28"/>
    <mergeCell ref="A19:H19"/>
    <mergeCell ref="A11:H11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10" customWidth="1" min="8" max="8"/>
    <col width="8" customWidth="1" min="9" max="9"/>
    <col width="10" customWidth="1" min="10" max="10"/>
    <col width="8" customWidth="1" min="11" max="11"/>
    <col width="34" customWidth="1" min="12" max="12"/>
  </cols>
  <sheetData>
    <row r="1">
      <c r="A1" s="1" t="inlineStr">
        <is>
          <t>ОБСЯГИ РИНКІВ І ПОТЕНЦІАЛ КОМПАНІЇ, млн грн</t>
        </is>
      </c>
    </row>
    <row r="2">
      <c r="A2" s="2" t="inlineStr">
        <is>
          <t>TAM — увесь ринок · SAM — доступний нам сегмент · SOM — реалістична виручка GIS-Point · FTE — скільки людей треба, щоб цей SOM узяти</t>
        </is>
      </c>
    </row>
    <row r="4" ht="30" customHeight="1">
      <c r="A4" s="3" t="inlineStr">
        <is>
          <t>Ринок</t>
        </is>
      </c>
      <c r="B4" s="3" t="inlineStr">
        <is>
          <t>TAM 2026</t>
        </is>
      </c>
      <c r="C4" s="3" t="inlineStr">
        <is>
          <t>TAM 2027</t>
        </is>
      </c>
      <c r="D4" s="3" t="inlineStr">
        <is>
          <t>TAM 2028</t>
        </is>
      </c>
      <c r="E4" s="3" t="inlineStr">
        <is>
          <t>TAM 2029</t>
        </is>
      </c>
      <c r="F4" s="3" t="inlineStr">
        <is>
          <t>SAM 2029</t>
        </is>
      </c>
      <c r="G4" s="3" t="inlineStr">
        <is>
          <t>SOM 2026</t>
        </is>
      </c>
      <c r="H4" s="3" t="inlineStr">
        <is>
          <t>SOM 2029</t>
        </is>
      </c>
      <c r="I4" s="3" t="inlineStr">
        <is>
          <t>GM</t>
        </is>
      </c>
      <c r="J4" s="3" t="inlineStr">
        <is>
          <t>ВП 2029</t>
        </is>
      </c>
      <c r="K4" s="3" t="inlineStr">
        <is>
          <t>FTE</t>
        </is>
      </c>
      <c r="L4" s="3" t="inlineStr">
        <is>
          <t>Головний драйвер / гальмо</t>
        </is>
      </c>
    </row>
    <row r="5">
      <c r="A5" s="4" t="inlineStr">
        <is>
          <t>M1  Топогеодезичні вишукування (UA)</t>
        </is>
      </c>
      <c r="B5" s="11" t="n">
        <v>2860</v>
      </c>
      <c r="C5" s="11" t="n">
        <v>3318</v>
      </c>
      <c r="D5" s="11" t="n">
        <v>3882</v>
      </c>
      <c r="E5" s="11" t="n">
        <v>4464</v>
      </c>
      <c r="F5" s="11" t="n">
        <v>1518</v>
      </c>
      <c r="G5" s="11" t="n">
        <v>34</v>
      </c>
      <c r="H5" s="11" t="n">
        <v>91</v>
      </c>
      <c r="I5" s="30" t="n">
        <v>0.25</v>
      </c>
      <c r="J5" s="11">
        <f>H5*I5</f>
        <v/>
      </c>
      <c r="K5" s="10" t="n">
        <v>35</v>
      </c>
      <c r="L5" s="4" t="inlineStr">
        <is>
          <t>БМР 258→292 млрд грн; вишукування ~0,55% від БМР</t>
        </is>
      </c>
    </row>
    <row r="6">
      <c r="A6" s="26" t="inlineStr">
        <is>
          <t>M2  Інженерно-геологічні вишукування (UA)</t>
        </is>
      </c>
      <c r="B6" s="17" t="n">
        <v>2410</v>
      </c>
      <c r="C6" s="17" t="n">
        <v>2772</v>
      </c>
      <c r="D6" s="17" t="n">
        <v>3215</v>
      </c>
      <c r="E6" s="17" t="n">
        <v>3665</v>
      </c>
      <c r="F6" s="17" t="n">
        <v>1100</v>
      </c>
      <c r="G6" s="17" t="n">
        <v>22</v>
      </c>
      <c r="H6" s="17" t="n">
        <v>49</v>
      </c>
      <c r="I6" s="25" t="n">
        <v>0.12</v>
      </c>
      <c r="J6" s="17">
        <f>H6*I6</f>
        <v/>
      </c>
      <c r="K6" s="16" t="n">
        <v>15</v>
      </c>
      <c r="L6" s="4" t="inlineStr">
        <is>
          <t>той самий драйвер, але капіталомісткість убиває маржу</t>
        </is>
      </c>
    </row>
    <row r="7">
      <c r="A7" s="4" t="inlineStr">
        <is>
          <t>M3  ІТ-автоматизація для будівельників (UA)</t>
        </is>
      </c>
      <c r="B7" s="11" t="n">
        <v>990</v>
      </c>
      <c r="C7" s="11" t="n">
        <v>1267</v>
      </c>
      <c r="D7" s="11" t="n">
        <v>1647</v>
      </c>
      <c r="E7" s="11" t="n">
        <v>2109</v>
      </c>
      <c r="F7" s="11" t="n">
        <v>380</v>
      </c>
      <c r="G7" s="11" t="n">
        <v>7</v>
      </c>
      <c r="H7" s="11" t="n">
        <v>34</v>
      </c>
      <c r="I7" s="30" t="n">
        <v>0.45</v>
      </c>
      <c r="J7" s="11">
        <f>H7*I7</f>
        <v/>
      </c>
      <c r="K7" s="10" t="n">
        <v>9</v>
      </c>
      <c r="L7" s="4" t="inlineStr">
        <is>
          <t>BIM на держзамовленні, ЄДЕССБ; але SAM лише 380 млн</t>
        </is>
      </c>
    </row>
    <row r="8">
      <c r="A8" s="26" t="inlineStr">
        <is>
          <t>M4  ІТ/цифра для агро (UA)</t>
        </is>
      </c>
      <c r="B8" s="17" t="n">
        <v>3890</v>
      </c>
      <c r="C8" s="17" t="n">
        <v>4551</v>
      </c>
      <c r="D8" s="17" t="n">
        <v>5280</v>
      </c>
      <c r="E8" s="17" t="n">
        <v>6071</v>
      </c>
      <c r="F8" s="17" t="n">
        <v>486</v>
      </c>
      <c r="G8" s="17" t="n">
        <v>8</v>
      </c>
      <c r="H8" s="17" t="n">
        <v>29</v>
      </c>
      <c r="I8" s="25" t="n">
        <v>0.6</v>
      </c>
      <c r="J8" s="17">
        <f>H8*I8</f>
        <v/>
      </c>
      <c r="K8" s="16" t="n">
        <v>8</v>
      </c>
      <c r="L8" s="4" t="inlineStr">
        <is>
          <t>24 млн га x $3,6/га; ринок зайнятий, CAC високий</t>
        </is>
      </c>
    </row>
    <row r="9">
      <c r="A9" s="4" t="inlineStr">
        <is>
          <t>M5  ІТ/геодані для дорожників та інфри (UA)</t>
        </is>
      </c>
      <c r="B9" s="11" t="n">
        <v>650</v>
      </c>
      <c r="C9" s="11" t="n">
        <v>812</v>
      </c>
      <c r="D9" s="11" t="n">
        <v>1072</v>
      </c>
      <c r="E9" s="11" t="n">
        <v>1394</v>
      </c>
      <c r="F9" s="11" t="n">
        <v>418</v>
      </c>
      <c r="G9" s="11" t="n">
        <v>10</v>
      </c>
      <c r="H9" s="11" t="n">
        <v>46</v>
      </c>
      <c r="I9" s="30" t="n">
        <v>0.55</v>
      </c>
      <c r="J9" s="11">
        <f>H9*I9</f>
        <v/>
      </c>
      <c r="K9" s="10" t="n">
        <v>14</v>
      </c>
      <c r="L9" s="4" t="inlineStr">
        <is>
          <t>дорфонд 12,6 млрд при потребі 52 млрд; донори</t>
        </is>
      </c>
    </row>
    <row r="10">
      <c r="A10" s="29" t="inlineStr">
        <is>
          <t>M6  Мережі й комунальна інфраструктура (UA)</t>
        </is>
      </c>
      <c r="B10" s="14" t="n">
        <v>950</v>
      </c>
      <c r="C10" s="14" t="n">
        <v>1197</v>
      </c>
      <c r="D10" s="14" t="n">
        <v>1532</v>
      </c>
      <c r="E10" s="14" t="n">
        <v>1915</v>
      </c>
      <c r="F10" s="14" t="n">
        <v>670</v>
      </c>
      <c r="G10" s="14" t="n">
        <v>13</v>
      </c>
      <c r="H10" s="14" t="n">
        <v>80</v>
      </c>
      <c r="I10" s="28" t="n">
        <v>0.65</v>
      </c>
      <c r="J10" s="14">
        <f>H10*I10</f>
        <v/>
      </c>
      <c r="K10" s="13" t="n">
        <v>24</v>
      </c>
      <c r="L10" s="4" t="inlineStr">
        <is>
          <t>RDNA5: енергетика в топ-3 збитків; донори вимагають облік активів</t>
        </is>
      </c>
    </row>
    <row r="11">
      <c r="A11" s="26" t="inlineStr">
        <is>
          <t>M7  Громади / містобудівна документація (UA)</t>
        </is>
      </c>
      <c r="B11" s="17" t="n">
        <v>750</v>
      </c>
      <c r="C11" s="17" t="n">
        <v>862</v>
      </c>
      <c r="D11" s="17" t="n">
        <v>1000</v>
      </c>
      <c r="E11" s="17" t="n">
        <v>1141</v>
      </c>
      <c r="F11" s="17" t="n">
        <v>285</v>
      </c>
      <c r="G11" s="17" t="n">
        <v>4</v>
      </c>
      <c r="H11" s="17" t="n">
        <v>10</v>
      </c>
      <c r="I11" s="25" t="n">
        <v>0.4</v>
      </c>
      <c r="J11" s="17">
        <f>H11*I11</f>
        <v/>
      </c>
      <c r="K11" s="16" t="n">
        <v>4</v>
      </c>
      <c r="L11" s="4" t="inlineStr">
        <is>
          <t>обовʼязкові комплексні плани; але тендери й демпінг</t>
        </is>
      </c>
    </row>
    <row r="12">
      <c r="A12" s="4" t="inlineStr">
        <is>
          <t>M8  Розмінування: геодані + ІТ (UA)</t>
        </is>
      </c>
      <c r="B12" s="11" t="n">
        <v>260</v>
      </c>
      <c r="C12" s="11" t="n">
        <v>312</v>
      </c>
      <c r="D12" s="11" t="n">
        <v>381</v>
      </c>
      <c r="E12" s="11" t="n">
        <v>449</v>
      </c>
      <c r="F12" s="11" t="n">
        <v>180</v>
      </c>
      <c r="G12" s="11" t="n">
        <v>4</v>
      </c>
      <c r="H12" s="11" t="n">
        <v>13</v>
      </c>
      <c r="I12" s="30" t="n">
        <v>0.55</v>
      </c>
      <c r="J12" s="11">
        <f>H12*I12</f>
        <v/>
      </c>
      <c r="K12" s="10" t="n">
        <v>4</v>
      </c>
      <c r="L12" s="4" t="inlineStr">
        <is>
          <t>2,5 млрд грн ринку; фінансування політично волатильне</t>
        </is>
      </c>
    </row>
    <row r="13">
      <c r="A13" s="29" t="inlineStr">
        <is>
          <t>M9  Надра/карʼєри: маркшейдерія + DaaS (UA)</t>
        </is>
      </c>
      <c r="B13" s="14" t="n">
        <v>380</v>
      </c>
      <c r="C13" s="14" t="n">
        <v>433</v>
      </c>
      <c r="D13" s="14" t="n">
        <v>498</v>
      </c>
      <c r="E13" s="14" t="n">
        <v>563</v>
      </c>
      <c r="F13" s="14" t="n">
        <v>253</v>
      </c>
      <c r="G13" s="14" t="n">
        <v>5</v>
      </c>
      <c r="H13" s="14" t="n">
        <v>15</v>
      </c>
      <c r="I13" s="28" t="n">
        <v>0.68</v>
      </c>
      <c r="J13" s="14">
        <f>H13*I13</f>
        <v/>
      </c>
      <c r="K13" s="13" t="n">
        <v>5</v>
      </c>
      <c r="L13" s="4" t="inlineStr">
        <is>
          <t>~1 500 надрокористувачів, обовʼязкові обсяги; ринок малий</t>
        </is>
      </c>
    </row>
    <row r="14">
      <c r="A14" s="29" t="inlineStr">
        <is>
          <t>M10 ЕКСПОРТ geospatial (доступний сегмент)</t>
        </is>
      </c>
      <c r="B14" s="14" t="n">
        <v>14400</v>
      </c>
      <c r="C14" s="14" t="n">
        <v>16128</v>
      </c>
      <c r="D14" s="14" t="n">
        <v>18063</v>
      </c>
      <c r="E14" s="14" t="n">
        <v>20231</v>
      </c>
      <c r="F14" s="14" t="n">
        <v>20231</v>
      </c>
      <c r="G14" s="14" t="n">
        <v>36</v>
      </c>
      <c r="H14" s="14" t="n">
        <v>223</v>
      </c>
      <c r="I14" s="28" t="n">
        <v>0.38</v>
      </c>
      <c r="J14" s="14">
        <f>H14*I14</f>
        <v/>
      </c>
      <c r="K14" s="13" t="n">
        <v>54</v>
      </c>
      <c r="L14" s="4" t="inlineStr">
        <is>
          <t>глобальний ринок ~$103 млрд, CAGR 11-12%</t>
        </is>
      </c>
    </row>
    <row r="15">
      <c r="A15" s="31" t="inlineStr">
        <is>
          <t>РАЗОМ</t>
        </is>
      </c>
      <c r="B15" s="32">
        <f>SUM(B5:B14)</f>
        <v/>
      </c>
      <c r="C15" s="32">
        <f>SUM(C5:C14)</f>
        <v/>
      </c>
      <c r="D15" s="32">
        <f>SUM(D5:D14)</f>
        <v/>
      </c>
      <c r="E15" s="32">
        <f>SUM(E5:E14)</f>
        <v/>
      </c>
      <c r="F15" s="32">
        <f>SUM(F5:F14)</f>
        <v/>
      </c>
      <c r="G15" s="32">
        <f>SUM(G5:G14)</f>
        <v/>
      </c>
      <c r="H15" s="32">
        <f>SUM(H5:H14)</f>
        <v/>
      </c>
      <c r="I15" s="31" t="n"/>
      <c r="J15" s="32">
        <f>SUM(J5:J14)</f>
        <v/>
      </c>
      <c r="K15" s="33">
        <f>SUM(K5:K14)</f>
        <v/>
      </c>
    </row>
    <row r="17">
      <c r="A17" s="34" t="inlineStr">
        <is>
          <t>ГОЛОВНЕ ОБМЕЖЕННЯ: щоб узяти весь SOM, потрібно ~171 людину. Компанія планує 100. Отже, ВИБІР ОБОВʼЯЗКОВИЙ — можна взяти приблизно 60% списку.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20" customWidth="1" min="8" max="8"/>
    <col width="44" customWidth="1" min="9" max="9"/>
  </cols>
  <sheetData>
    <row r="1">
      <c r="A1" s="1" t="inlineStr">
        <is>
          <t>МАТРИЦЯ РІШЕННЯ — чому ранжування за ВП/FTE оманливе</t>
        </is>
      </c>
    </row>
    <row r="2">
      <c r="A2" s="2" t="inlineStr">
        <is>
          <t>Оцінка 1-5 за пʼятьма критеріями. Ваги — у рядку 4, їх можна змінювати (жовті).</t>
        </is>
      </c>
    </row>
    <row r="4" ht="30" customHeight="1">
      <c r="A4" s="3" t="inlineStr">
        <is>
          <t>Ринок</t>
        </is>
      </c>
      <c r="B4" s="3" t="inlineStr">
        <is>
          <t>Масштаб (абс. ВП 2029)</t>
        </is>
      </c>
      <c r="C4" s="3" t="inlineStr">
        <is>
          <t>Якість економіки (ВП/FTE)</t>
        </is>
      </c>
      <c r="D4" s="3" t="inlineStr">
        <is>
          <t>Вартість захоплення (LTV/CAC)</t>
        </is>
      </c>
      <c r="E4" s="3" t="inlineStr">
        <is>
          <t>Право на перемогу</t>
        </is>
      </c>
      <c r="F4" s="3" t="inlineStr">
        <is>
          <t>Стійкість у сценарії C</t>
        </is>
      </c>
      <c r="G4" s="3" t="inlineStr">
        <is>
          <t>ЗВАЖЕНИЙ БАЛ</t>
        </is>
      </c>
      <c r="H4" s="3" t="inlineStr">
        <is>
          <t>Рішення</t>
        </is>
      </c>
      <c r="I4" s="3" t="inlineStr">
        <is>
          <t>Обґрунтування</t>
        </is>
      </c>
    </row>
    <row r="5">
      <c r="A5" s="19" t="inlineStr">
        <is>
          <t>ВАГА</t>
        </is>
      </c>
      <c r="B5" s="9" t="n">
        <v>0.3</v>
      </c>
      <c r="C5" s="9" t="n">
        <v>0.25</v>
      </c>
      <c r="D5" s="9" t="n">
        <v>0.2</v>
      </c>
      <c r="E5" s="9" t="n">
        <v>0.15</v>
      </c>
      <c r="F5" s="9" t="n">
        <v>0.1</v>
      </c>
    </row>
    <row r="6">
      <c r="A6" s="29" t="inlineStr">
        <is>
          <t>M6  Мережі й комунальна інфра</t>
        </is>
      </c>
      <c r="B6" s="13" t="n">
        <v>5</v>
      </c>
      <c r="C6" s="13" t="n">
        <v>5</v>
      </c>
      <c r="D6" s="13" t="n">
        <v>4</v>
      </c>
      <c r="E6" s="13" t="n">
        <v>5</v>
      </c>
      <c r="F6" s="13" t="n">
        <v>3</v>
      </c>
      <c r="G6" s="35">
        <f>SUMPRODUCT(B6:F6,$B$5:$F$5)</f>
        <v/>
      </c>
      <c r="H6" s="29" t="inlineStr">
        <is>
          <t>★★★ ЯДРО</t>
        </is>
      </c>
      <c r="I6" s="29" t="inlineStr">
        <is>
          <t>LTV/CAC 10,7; ми єдині, хто і знімає дані в полі, і будує систему</t>
        </is>
      </c>
    </row>
    <row r="7">
      <c r="A7" s="29" t="inlineStr">
        <is>
          <t>M10 ЕКСПОРТ geospatial</t>
        </is>
      </c>
      <c r="B7" s="13" t="n">
        <v>5</v>
      </c>
      <c r="C7" s="13" t="n">
        <v>3</v>
      </c>
      <c r="D7" s="13" t="n">
        <v>2</v>
      </c>
      <c r="E7" s="13" t="n">
        <v>4</v>
      </c>
      <c r="F7" s="13" t="n">
        <v>5</v>
      </c>
      <c r="G7" s="35">
        <f>SUMPRODUCT(B7:F7,$B$5:$F$5)</f>
        <v/>
      </c>
      <c r="H7" s="29" t="inlineStr">
        <is>
          <t>★★★ ЯДРО</t>
        </is>
      </c>
      <c r="I7" s="29" t="inlineStr">
        <is>
          <t>єдина лінія, прибуткова у ВСІХ трьох сценаріях; вхід у продажі дорогий</t>
        </is>
      </c>
    </row>
    <row r="8">
      <c r="A8" s="29" t="inlineStr">
        <is>
          <t>M9  Надра/карʼєри: DaaS-обʼєми</t>
        </is>
      </c>
      <c r="B8" s="13" t="n">
        <v>1</v>
      </c>
      <c r="C8" s="13" t="n">
        <v>5</v>
      </c>
      <c r="D8" s="13" t="n">
        <v>5</v>
      </c>
      <c r="E8" s="13" t="n">
        <v>5</v>
      </c>
      <c r="F8" s="13" t="n">
        <v>4</v>
      </c>
      <c r="G8" s="35">
        <f>SUMPRODUCT(B8:F8,$B$5:$F$5)</f>
        <v/>
      </c>
      <c r="H8" s="29" t="inlineStr">
        <is>
          <t>★★★ ЯДРО (мала ставка)</t>
        </is>
      </c>
      <c r="I8" s="29" t="inlineStr">
        <is>
          <t>LTV/CAC 13,3, payback 4,5 міс — але ринок малий, це не двигун</t>
        </is>
      </c>
    </row>
    <row r="9">
      <c r="A9" s="4" t="inlineStr">
        <is>
          <t>M5  ІТ/геодані для дорожників</t>
        </is>
      </c>
      <c r="B9" s="10" t="n">
        <v>3</v>
      </c>
      <c r="C9" s="10" t="n">
        <v>4</v>
      </c>
      <c r="D9" s="10" t="n">
        <v>3</v>
      </c>
      <c r="E9" s="10" t="n">
        <v>4</v>
      </c>
      <c r="F9" s="10" t="n">
        <v>2</v>
      </c>
      <c r="G9" s="36">
        <f>SUMPRODUCT(B9:F9,$B$5:$F$5)</f>
        <v/>
      </c>
      <c r="H9" s="4" t="inlineStr">
        <is>
          <t>★★ ОПЦІЯ</t>
        </is>
      </c>
      <c r="I9" s="4" t="inlineStr">
        <is>
          <t>донорські гроші й вимога прозорості — наш продаж; ризик держзамовника</t>
        </is>
      </c>
    </row>
    <row r="10">
      <c r="A10" s="4" t="inlineStr">
        <is>
          <t>M1  Топогеодезичні вишукування</t>
        </is>
      </c>
      <c r="B10" s="10" t="n">
        <v>3</v>
      </c>
      <c r="C10" s="10" t="n">
        <v>1</v>
      </c>
      <c r="D10" s="10" t="n">
        <v>5</v>
      </c>
      <c r="E10" s="10" t="n">
        <v>5</v>
      </c>
      <c r="F10" s="10" t="n">
        <v>3</v>
      </c>
      <c r="G10" s="36">
        <f>SUMPRODUCT(B10:F10,$B$5:$F$5)</f>
        <v/>
      </c>
      <c r="H10" s="4" t="inlineStr">
        <is>
          <t>● КЕШ + КАНАЛ</t>
        </is>
      </c>
      <c r="I10" s="4" t="inlineStr">
        <is>
          <t>не двигун росту, але дає гроші й майже нульовий CAC для підписок</t>
        </is>
      </c>
    </row>
    <row r="11">
      <c r="A11" s="4" t="inlineStr">
        <is>
          <t>M8  Розмінування: геодані + ІТ</t>
        </is>
      </c>
      <c r="B11" s="10" t="n">
        <v>1</v>
      </c>
      <c r="C11" s="10" t="n">
        <v>3</v>
      </c>
      <c r="D11" s="10" t="n">
        <v>4</v>
      </c>
      <c r="E11" s="10" t="n">
        <v>5</v>
      </c>
      <c r="F11" s="10" t="n">
        <v>1</v>
      </c>
      <c r="G11" s="36">
        <f>SUMPRODUCT(B11:F11,$B$5:$F$5)</f>
        <v/>
      </c>
      <c r="H11" s="4" t="inlineStr">
        <is>
          <t>◐ спостерігати</t>
        </is>
      </c>
      <c r="I11" s="4" t="inlineStr">
        <is>
          <t>унікальний фіт (GIS = ядро IMSMA), але фінансування політичне</t>
        </is>
      </c>
    </row>
    <row r="12">
      <c r="A12" s="26" t="inlineStr">
        <is>
          <t>M3  ІТ для будівельників (UA)</t>
        </is>
      </c>
      <c r="B12" s="16" t="n">
        <v>2</v>
      </c>
      <c r="C12" s="16" t="n">
        <v>3</v>
      </c>
      <c r="D12" s="16" t="n">
        <v>3</v>
      </c>
      <c r="E12" s="16" t="n">
        <v>3</v>
      </c>
      <c r="F12" s="16" t="n">
        <v>2</v>
      </c>
      <c r="G12" s="37">
        <f>SUMPRODUCT(B12:F12,$B$5:$F$5)</f>
        <v/>
      </c>
      <c r="H12" s="26" t="inlineStr">
        <is>
          <t>✗ НІ</t>
        </is>
      </c>
      <c r="I12" s="26" t="inlineStr">
        <is>
          <t>SAM лише 380 млн грн; галузь платить мало і повільно</t>
        </is>
      </c>
    </row>
    <row r="13">
      <c r="A13" s="26" t="inlineStr">
        <is>
          <t>M4  ІТ/цифра для агро (UA)</t>
        </is>
      </c>
      <c r="B13" s="16" t="n">
        <v>2</v>
      </c>
      <c r="C13" s="16" t="n">
        <v>4</v>
      </c>
      <c r="D13" s="16" t="n">
        <v>1</v>
      </c>
      <c r="E13" s="16" t="n">
        <v>2</v>
      </c>
      <c r="F13" s="16" t="n">
        <v>4</v>
      </c>
      <c r="G13" s="37">
        <f>SUMPRODUCT(B13:F13,$B$5:$F$5)</f>
        <v/>
      </c>
      <c r="H13" s="26" t="inlineStr">
        <is>
          <t>✗ НІ</t>
        </is>
      </c>
      <c r="I13" s="26" t="inlineStr">
        <is>
          <t>LTV/CAC 1,8, payback 30 міс — Cropio, OneSoil, Soft.Farm вже там</t>
        </is>
      </c>
    </row>
    <row r="14">
      <c r="A14" s="26" t="inlineStr">
        <is>
          <t>M2  Інженерно-геологічні вишукування</t>
        </is>
      </c>
      <c r="B14" s="16" t="n">
        <v>1</v>
      </c>
      <c r="C14" s="16" t="n">
        <v>1</v>
      </c>
      <c r="D14" s="16" t="n">
        <v>5</v>
      </c>
      <c r="E14" s="16" t="n">
        <v>4</v>
      </c>
      <c r="F14" s="16" t="n">
        <v>2</v>
      </c>
      <c r="G14" s="37">
        <f>SUMPRODUCT(B14:F14,$B$5:$F$5)</f>
        <v/>
      </c>
      <c r="H14" s="26" t="inlineStr">
        <is>
          <t>✗ ЗГОРНУТИ</t>
        </is>
      </c>
      <c r="I14" s="26" t="inlineStr">
        <is>
          <t>GM 12%, беззбитковість 61% util — найгірша економіка портфеля</t>
        </is>
      </c>
    </row>
    <row r="15">
      <c r="A15" s="26" t="inlineStr">
        <is>
          <t>M7  Громади / містобудівна докум.</t>
        </is>
      </c>
      <c r="B15" s="16" t="n">
        <v>1</v>
      </c>
      <c r="C15" s="16" t="n">
        <v>2</v>
      </c>
      <c r="D15" s="16" t="n">
        <v>2</v>
      </c>
      <c r="E15" s="16" t="n">
        <v>3</v>
      </c>
      <c r="F15" s="16" t="n">
        <v>2</v>
      </c>
      <c r="G15" s="37">
        <f>SUMPRODUCT(B15:F15,$B$5:$F$5)</f>
        <v/>
      </c>
      <c r="H15" s="26" t="inlineStr">
        <is>
          <t>✗ НІ</t>
        </is>
      </c>
      <c r="I15" s="26" t="inlineStr">
        <is>
          <t>тендери, демпінг, дрібні чеки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13" customWidth="1" min="3" max="3"/>
    <col width="9" customWidth="1" min="4" max="4"/>
    <col width="13" customWidth="1" min="5" max="5"/>
    <col width="14" customWidth="1" min="6" max="6"/>
    <col width="44" customWidth="1" min="7" max="7"/>
  </cols>
  <sheetData>
    <row r="1">
      <c r="A1" s="1" t="inlineStr">
        <is>
          <t>P&amp;L: БАЗА 2026 → ЦІЛЬ 2029</t>
        </is>
      </c>
    </row>
    <row r="2">
      <c r="A2" s="38" t="inlineStr">
        <is>
          <t>База 2026 — реконструкція за ринково-типовими ставками, НЕ фактична звітність компанії. Замініть на свої цифри.</t>
        </is>
      </c>
    </row>
    <row r="4">
      <c r="A4" s="1" t="inlineStr">
        <is>
          <t>БАЗА 2026 (~50 осіб) — поточний портфель</t>
        </is>
      </c>
    </row>
    <row r="5" ht="30" customHeight="1">
      <c r="A5" s="3" t="inlineStr">
        <is>
          <t>Напрям</t>
        </is>
      </c>
      <c r="B5" s="3" t="inlineStr">
        <is>
          <t>FTE</t>
        </is>
      </c>
      <c r="C5" s="3" t="inlineStr">
        <is>
          <t>Виручка, млн грн</t>
        </is>
      </c>
      <c r="D5" s="3" t="inlineStr">
        <is>
          <t>GM %</t>
        </is>
      </c>
      <c r="E5" s="3" t="inlineStr">
        <is>
          <t>Валовий приб., млн</t>
        </is>
      </c>
      <c r="F5" s="3" t="inlineStr">
        <is>
          <t>ВП на 1 FTE, $</t>
        </is>
      </c>
      <c r="G5" s="3" t="inlineStr">
        <is>
          <t>Коментар</t>
        </is>
      </c>
    </row>
    <row r="6">
      <c r="A6" s="4" t="inlineStr">
        <is>
          <t>Топогеодезія</t>
        </is>
      </c>
      <c r="B6" s="10" t="n">
        <v>22</v>
      </c>
      <c r="C6" s="39" t="n">
        <v>62</v>
      </c>
      <c r="D6" s="30" t="n">
        <v>0.18</v>
      </c>
      <c r="E6" s="39">
        <f>C6*D6</f>
        <v/>
      </c>
      <c r="F6" s="11">
        <f>IF(B6=0,0,E6*1000000/45.0/B6)</f>
        <v/>
      </c>
      <c r="G6" s="4" t="inlineStr">
        <is>
          <t>util ~62%, ставка ~18 000 грн/день</t>
        </is>
      </c>
    </row>
    <row r="7">
      <c r="A7" s="4" t="inlineStr">
        <is>
          <t>Геологія (буріння)</t>
        </is>
      </c>
      <c r="B7" s="10" t="n">
        <v>12</v>
      </c>
      <c r="C7" s="39" t="n">
        <v>34</v>
      </c>
      <c r="D7" s="30" t="n">
        <v>0.06</v>
      </c>
      <c r="E7" s="39">
        <f>C7*D7</f>
        <v/>
      </c>
      <c r="F7" s="11">
        <f>IF(B7=0,0,E7*1000000/45.0/B7)</f>
        <v/>
      </c>
      <c r="G7" s="4" t="inlineStr">
        <is>
          <t>util ~55% — нижче точки беззбитковості</t>
        </is>
      </c>
    </row>
    <row r="8">
      <c r="A8" s="4" t="inlineStr">
        <is>
          <t>ІТ на внутрішній ринок</t>
        </is>
      </c>
      <c r="B8" s="10" t="n">
        <v>10</v>
      </c>
      <c r="C8" s="39" t="n">
        <v>17</v>
      </c>
      <c r="D8" s="30" t="n">
        <v>0.12</v>
      </c>
      <c r="E8" s="39">
        <f>C8*D8</f>
        <v/>
      </c>
      <c r="F8" s="11">
        <f>IF(B8=0,0,E8*1000000/45.0/B8)</f>
        <v/>
      </c>
      <c r="G8" s="4" t="inlineStr">
        <is>
          <t>фікс-прайс проєкти; T&amp;M за $26/год був би збитковим</t>
        </is>
      </c>
    </row>
    <row r="9">
      <c r="A9" s="4" t="inlineStr">
        <is>
          <t>Адмін / продажі / бек-офіс</t>
        </is>
      </c>
      <c r="B9" s="10" t="n">
        <v>6</v>
      </c>
      <c r="C9" s="39" t="n">
        <v>0</v>
      </c>
      <c r="D9" s="30" t="n">
        <v>0</v>
      </c>
      <c r="E9" s="39">
        <f>C9*D9</f>
        <v/>
      </c>
      <c r="F9" s="11">
        <f>IF(B9=0,0,E9*1000000/45.0/B9)</f>
        <v/>
      </c>
      <c r="G9" s="4" t="inlineStr"/>
    </row>
    <row r="10">
      <c r="A10" s="31" t="inlineStr">
        <is>
          <t>РАЗОМ</t>
        </is>
      </c>
      <c r="B10" s="31">
        <f>SUM(B6:B9)</f>
        <v/>
      </c>
      <c r="C10" s="40">
        <f>SUM(C6:C9)</f>
        <v/>
      </c>
      <c r="D10" s="41">
        <f>E10/C10</f>
        <v/>
      </c>
      <c r="E10" s="40">
        <f>SUM(E6:E9)</f>
        <v/>
      </c>
      <c r="F10" s="32">
        <f>E10*1000000/45.0/B10</f>
        <v/>
      </c>
      <c r="G10" s="31" t="inlineStr"/>
    </row>
    <row r="11">
      <c r="A11" s="19" t="inlineStr">
        <is>
          <t>SG&amp;A, % від виручки</t>
        </is>
      </c>
      <c r="B11" s="9" t="n">
        <v>0.16</v>
      </c>
      <c r="C11" s="42">
        <f>C10*B11</f>
        <v/>
      </c>
      <c r="G11" s="2" t="inlineStr">
        <is>
          <t>для польової компанії 50 осіб типово 14-18%</t>
        </is>
      </c>
    </row>
    <row r="12">
      <c r="A12" s="31" t="inlineStr">
        <is>
          <t>EBITDA, млн грн</t>
        </is>
      </c>
      <c r="B12" s="43" t="n"/>
      <c r="C12" s="40">
        <f>E10-C11</f>
        <v/>
      </c>
      <c r="D12" s="44">
        <f>C12/C10</f>
        <v/>
      </c>
      <c r="E12" s="45">
        <f>C12*1000000/45.0</f>
        <v/>
      </c>
      <c r="F12" t="inlineStr">
        <is>
          <t>USD</t>
        </is>
      </c>
    </row>
    <row r="14">
      <c r="A14" s="1" t="inlineStr">
        <is>
          <t>ЦІЛЬ 2029 (~100 осіб) — рекомендований портфель</t>
        </is>
      </c>
    </row>
    <row r="15" ht="30" customHeight="1">
      <c r="A15" s="3" t="inlineStr">
        <is>
          <t>Напрям</t>
        </is>
      </c>
      <c r="B15" s="3" t="inlineStr">
        <is>
          <t>FTE</t>
        </is>
      </c>
      <c r="C15" s="3" t="inlineStr">
        <is>
          <t>Виручка, млн грн</t>
        </is>
      </c>
      <c r="D15" s="3" t="inlineStr">
        <is>
          <t>GM %</t>
        </is>
      </c>
      <c r="E15" s="3" t="inlineStr">
        <is>
          <t>Валовий приб., млн</t>
        </is>
      </c>
      <c r="F15" s="3" t="inlineStr">
        <is>
          <t>ВП на 1 FTE, $</t>
        </is>
      </c>
      <c r="G15" s="3" t="inlineStr">
        <is>
          <t>Коментар</t>
        </is>
      </c>
    </row>
    <row r="16">
      <c r="A16" s="4" t="inlineStr">
        <is>
          <t>Експорт geospatial IT</t>
        </is>
      </c>
      <c r="B16" s="10" t="n">
        <v>32</v>
      </c>
      <c r="C16" s="39" t="n">
        <v>108</v>
      </c>
      <c r="D16" s="30" t="n">
        <v>0.38</v>
      </c>
      <c r="E16" s="39">
        <f>C16*D16</f>
        <v/>
      </c>
      <c r="F16" s="11">
        <f>IF(B16=0,0,E16*1000000/51.5/B16)</f>
        <v/>
      </c>
      <c r="G16" s="4" t="inlineStr">
        <is>
          <t>26 billable інженерів x $55/год</t>
        </is>
      </c>
    </row>
    <row r="17">
      <c r="A17" s="4" t="inlineStr">
        <is>
          <t>Мережі / інфра: продукт + підписка</t>
        </is>
      </c>
      <c r="B17" s="10" t="n">
        <v>20</v>
      </c>
      <c r="C17" s="39" t="n">
        <v>68</v>
      </c>
      <c r="D17" s="30" t="n">
        <v>0.62</v>
      </c>
      <c r="E17" s="39">
        <f>C17*D17</f>
        <v/>
      </c>
      <c r="F17" s="11">
        <f>IF(B17=0,0,E17*1000000/51.5/B17)</f>
        <v/>
      </c>
      <c r="G17" s="4" t="inlineStr">
        <is>
          <t>~95 ентерпрайз-акаунтів</t>
        </is>
      </c>
    </row>
    <row r="18">
      <c r="A18" s="4" t="inlineStr">
        <is>
          <t>Дороги / інфра: геодані і контроль</t>
        </is>
      </c>
      <c r="B18" s="10" t="n">
        <v>12</v>
      </c>
      <c r="C18" s="39" t="n">
        <v>40</v>
      </c>
      <c r="D18" s="30" t="n">
        <v>0.52</v>
      </c>
      <c r="E18" s="39">
        <f>C18*D18</f>
        <v/>
      </c>
      <c r="F18" s="11">
        <f>IF(B18=0,0,E18*1000000/51.5/B18)</f>
        <v/>
      </c>
      <c r="G18" s="4" t="inlineStr">
        <is>
          <t>донорські інфрапроєкти</t>
        </is>
      </c>
    </row>
    <row r="19">
      <c r="A19" s="4" t="inlineStr">
        <is>
          <t>DaaS-моніторинг (надра, будмайданчики)</t>
        </is>
      </c>
      <c r="B19" s="10" t="n">
        <v>8</v>
      </c>
      <c r="C19" s="39" t="n">
        <v>30</v>
      </c>
      <c r="D19" s="30" t="n">
        <v>0.68</v>
      </c>
      <c r="E19" s="39">
        <f>C19*D19</f>
        <v/>
      </c>
      <c r="F19" s="11">
        <f>IF(B19=0,0,E19*1000000/51.5/B19)</f>
        <v/>
      </c>
      <c r="G19" s="4" t="inlineStr">
        <is>
          <t>~80 обʼєктів під підпискою</t>
        </is>
      </c>
    </row>
    <row r="20">
      <c r="A20" s="4" t="inlineStr">
        <is>
          <t>Топогеодезія (виконання + канал продажів)</t>
        </is>
      </c>
      <c r="B20" s="10" t="n">
        <v>20</v>
      </c>
      <c r="C20" s="39" t="n">
        <v>78</v>
      </c>
      <c r="D20" s="30" t="n">
        <v>0.28</v>
      </c>
      <c r="E20" s="39">
        <f>C20*D20</f>
        <v/>
      </c>
      <c r="F20" s="11">
        <f>IF(B20=0,0,E20*1000000/51.5/B20)</f>
        <v/>
      </c>
      <c r="G20" s="4" t="inlineStr">
        <is>
          <t>util 75% + ставка +20%; НЕ росте у людях</t>
        </is>
      </c>
    </row>
    <row r="21">
      <c r="A21" s="4" t="inlineStr">
        <is>
          <t>Геологія (партнерська модель)</t>
        </is>
      </c>
      <c r="B21" s="10" t="n">
        <v>4</v>
      </c>
      <c r="C21" s="39" t="n">
        <v>20</v>
      </c>
      <c r="D21" s="30" t="n">
        <v>0.14</v>
      </c>
      <c r="E21" s="39">
        <f>C21*D21</f>
        <v/>
      </c>
      <c r="F21" s="11">
        <f>IF(B21=0,0,E21*1000000/51.5/B21)</f>
        <v/>
      </c>
      <c r="G21" s="4" t="inlineStr">
        <is>
          <t>власні установки продані/здані, роботи через партнерів</t>
        </is>
      </c>
    </row>
    <row r="22">
      <c r="A22" s="4" t="inlineStr">
        <is>
          <t>Адмін / продажі / маркетинг / R&amp;D-платформа</t>
        </is>
      </c>
      <c r="B22" s="10" t="n">
        <v>4</v>
      </c>
      <c r="C22" s="39" t="n">
        <v>0</v>
      </c>
      <c r="D22" s="30" t="n">
        <v>0</v>
      </c>
      <c r="E22" s="39">
        <f>C22*D22</f>
        <v/>
      </c>
      <c r="F22" s="11">
        <f>IF(B22=0,0,E22*1000000/51.5/B22)</f>
        <v/>
      </c>
      <c r="G22" s="4" t="inlineStr"/>
    </row>
    <row r="23">
      <c r="A23" s="31" t="inlineStr">
        <is>
          <t>РАЗОМ</t>
        </is>
      </c>
      <c r="B23" s="31">
        <f>SUM(B16:B22)</f>
        <v/>
      </c>
      <c r="C23" s="40">
        <f>SUM(C16:C22)</f>
        <v/>
      </c>
      <c r="D23" s="41">
        <f>E23/C23</f>
        <v/>
      </c>
      <c r="E23" s="40">
        <f>SUM(E16:E22)</f>
        <v/>
      </c>
      <c r="F23" s="32">
        <f>E23*1000000/51.5/B23</f>
        <v/>
      </c>
      <c r="G23" s="31" t="inlineStr"/>
    </row>
    <row r="24">
      <c r="A24" s="19" t="inlineStr">
        <is>
          <t>SG&amp;A, % від виручки</t>
        </is>
      </c>
      <c r="B24" s="9" t="n">
        <v>0.26</v>
      </c>
      <c r="C24" s="42">
        <f>C23*B24</f>
        <v/>
      </c>
      <c r="G24" s="2" t="inlineStr">
        <is>
          <t>вище, бо зʼявляються продажі й маркетинг продукту</t>
        </is>
      </c>
    </row>
    <row r="25">
      <c r="A25" s="31" t="inlineStr">
        <is>
          <t>EBITDA, млн грн</t>
        </is>
      </c>
      <c r="B25" s="43" t="n"/>
      <c r="C25" s="40">
        <f>E23-C24</f>
        <v/>
      </c>
      <c r="D25" s="44">
        <f>C25/C23</f>
        <v/>
      </c>
      <c r="E25" s="45">
        <f>C25*1000000/51.5</f>
        <v/>
      </c>
      <c r="F25" t="inlineStr">
        <is>
          <t>USD</t>
        </is>
      </c>
    </row>
    <row r="27">
      <c r="A27" s="46" t="inlineStr">
        <is>
          <t>ДЕЛЬТА 2026 → 2029</t>
        </is>
      </c>
    </row>
    <row r="28">
      <c r="A28" s="4" t="inlineStr">
        <is>
          <t>Виручка</t>
        </is>
      </c>
      <c r="B28" s="47">
        <f>C23/C10</f>
        <v/>
      </c>
    </row>
    <row r="29">
      <c r="A29" s="4" t="inlineStr">
        <is>
          <t>Валовий прибуток</t>
        </is>
      </c>
      <c r="B29" s="47">
        <f>E23/E10</f>
        <v/>
      </c>
    </row>
    <row r="30">
      <c r="A30" s="4" t="inlineStr">
        <is>
          <t>Валовий прибуток на 1 FTE</t>
        </is>
      </c>
      <c r="B30" s="47">
        <f>F23/F10</f>
        <v/>
      </c>
    </row>
    <row r="31">
      <c r="A31" s="4" t="inlineStr">
        <is>
          <t>EBITDA, млн грн</t>
        </is>
      </c>
      <c r="B31" s="42">
        <f>C12</f>
        <v/>
      </c>
      <c r="C31" s="48" t="inlineStr">
        <is>
          <t>→</t>
        </is>
      </c>
      <c r="D31" s="49">
        <f>C25</f>
        <v/>
      </c>
    </row>
  </sheetData>
  <mergeCells count="3">
    <mergeCell ref="A4:H4"/>
    <mergeCell ref="A14:H14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2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СЦЕНАРІЇ 2029</t>
        </is>
      </c>
    </row>
    <row r="3" ht="30" customHeight="1">
      <c r="A3" s="3" t="inlineStr">
        <is>
          <t>Сценарій</t>
        </is>
      </c>
      <c r="B3" s="3" t="inlineStr">
        <is>
          <t>Ймовірність</t>
        </is>
      </c>
      <c r="C3" s="3" t="inlineStr">
        <is>
          <t>Коеф. внутр. ринків</t>
        </is>
      </c>
      <c r="D3" s="3" t="inlineStr">
        <is>
          <t>Коеф. експорту</t>
        </is>
      </c>
      <c r="E3" s="3" t="inlineStr">
        <is>
          <t>Виручка, млн грн</t>
        </is>
      </c>
      <c r="F3" s="3" t="inlineStr">
        <is>
          <t>EBITDA, млн грн</t>
        </is>
      </c>
      <c r="G3" s="3" t="inlineStr">
        <is>
          <t>Що це означає</t>
        </is>
      </c>
    </row>
    <row r="4">
      <c r="A4" s="4" t="inlineStr">
        <is>
          <t>A. Війна триває, донори стабільні</t>
        </is>
      </c>
      <c r="B4" s="9" t="n">
        <v>0.55</v>
      </c>
      <c r="C4" s="50" t="n">
        <v>1</v>
      </c>
      <c r="D4" s="50" t="n">
        <v>1</v>
      </c>
      <c r="E4" s="11">
        <f>(68+40+30+78+20)*C4+108*D4</f>
        <v/>
      </c>
      <c r="F4" s="11">
        <f>(68*0.62+40*0.52+30*0.68+78*0.28+20*0.14)*C4+108*0.38*D4-E4*0.26</f>
        <v/>
      </c>
      <c r="G4" s="4" t="inlineStr">
        <is>
          <t>базовий портфель без змін</t>
        </is>
      </c>
    </row>
    <row r="5">
      <c r="A5" s="4" t="inlineStr">
        <is>
          <t>B. Перемирʼя + донорський пакет</t>
        </is>
      </c>
      <c r="B5" s="9" t="n">
        <v>0.25</v>
      </c>
      <c r="C5" s="50" t="n">
        <v>1.8</v>
      </c>
      <c r="D5" s="50" t="n">
        <v>1.15</v>
      </c>
      <c r="E5" s="11">
        <f>(68+40+30+78+20)*C5+108*D5</f>
        <v/>
      </c>
      <c r="F5" s="11">
        <f>(68*0.62+40*0.52+30*0.68+78*0.28+20*0.14)*C5+108*0.38*D5-E5*0.26</f>
        <v/>
      </c>
      <c r="G5" s="4" t="inlineStr">
        <is>
          <t>інфра, мережі й дороги стрибають; експорт росте помірно</t>
        </is>
      </c>
    </row>
    <row r="6">
      <c r="A6" s="4" t="inlineStr">
        <is>
          <t>C. Ескалація / зрив фінансування</t>
        </is>
      </c>
      <c r="B6" s="9" t="n">
        <v>0.2</v>
      </c>
      <c r="C6" s="50" t="n">
        <v>0.55</v>
      </c>
      <c r="D6" s="50" t="n">
        <v>0.9</v>
      </c>
      <c r="E6" s="11">
        <f>(68+40+30+78+20)*C6+108*D6</f>
        <v/>
      </c>
      <c r="F6" s="11">
        <f>(68*0.62+40*0.52+30*0.68+78*0.28+20*0.14)*C6+108*0.38*D6-E6*0.26</f>
        <v/>
      </c>
      <c r="G6" s="4" t="inlineStr">
        <is>
          <t>внутрішні ринки -45%; експорт майже не страждає</t>
        </is>
      </c>
    </row>
    <row r="7">
      <c r="A7" s="31" t="inlineStr">
        <is>
          <t>ОЧІКУВАНЕ ЗНАЧЕННЯ (зважене)</t>
        </is>
      </c>
      <c r="B7" s="31" t="n"/>
      <c r="C7" s="31" t="n"/>
      <c r="D7" s="31" t="n"/>
      <c r="E7" s="32">
        <f>SUMPRODUCT(B4:B6,E4:E6)</f>
        <v/>
      </c>
      <c r="F7" s="32">
        <f>SUMPRODUCT(B4:B6,F4:F6)</f>
        <v/>
      </c>
    </row>
    <row r="9">
      <c r="A9" s="34" t="inlineStr">
        <is>
          <t>ВИСНОВОК: експорт — єдина лінія, що дає прибуток у всіх трьох сценаріях. Це не «додатковий напрямок», а страховка всієї компанії.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2026-08-29T15:14:58Z</dcterms:created>
  <dcterms:modified xsi:type="dcterms:W3CDTF">2026-08-29T15:14:58Z</dcterms:modified>
</cp:coreProperties>
</file>