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📊 Chief Dashboard" sheetId="1" state="visible" r:id="rId1"/>
    <sheet xmlns:r="http://schemas.openxmlformats.org/officeDocument/2006/relationships" name="Тижневий пульс 2026" sheetId="2" state="visible" r:id="rId2"/>
    <sheet xmlns:r="http://schemas.openxmlformats.org/officeDocument/2006/relationships" name="Monthl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m\-yy"/>
    <numFmt numFmtId="165" formatCode="0.0"/>
  </numFmts>
  <fonts count="4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404040"/>
      <sz val="8.5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CD34D"/>
      <sz val="14"/>
    </font>
    <font>
      <name val="Arial"/>
      <charset val="1"/>
      <family val="0"/>
      <b val="1"/>
      <color rgb="FF94A3B8"/>
      <sz val="8"/>
    </font>
    <font>
      <name val="Arial"/>
      <charset val="1"/>
      <family val="0"/>
      <b val="1"/>
      <color rgb="FF1E293B"/>
      <sz val="9"/>
    </font>
    <font>
      <name val="Arial"/>
      <charset val="1"/>
      <family val="0"/>
      <b val="1"/>
      <color rgb="FFF59E0B"/>
      <sz val="11"/>
    </font>
    <font>
      <name val="Arial"/>
      <charset val="1"/>
      <family val="0"/>
      <i val="1"/>
      <color rgb="FF64748B"/>
      <sz val="8"/>
    </font>
    <font>
      <name val="Arial"/>
      <charset val="1"/>
      <family val="0"/>
      <b val="1"/>
      <color rgb="FFE2E8F0"/>
      <sz val="8"/>
    </font>
    <font>
      <name val="Arial"/>
      <charset val="1"/>
      <family val="0"/>
      <b val="1"/>
      <color rgb="FF93C5FD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3B82F6"/>
      <sz val="9"/>
    </font>
    <font>
      <name val="Arial"/>
      <charset val="1"/>
      <family val="0"/>
      <color rgb="FF1E293B"/>
      <sz val="9"/>
    </font>
    <font>
      <name val="Arial"/>
      <charset val="1"/>
      <family val="0"/>
      <b val="1"/>
      <color rgb="FF1D4ED8"/>
      <sz val="9"/>
    </font>
    <font>
      <name val="Arial"/>
      <charset val="1"/>
      <family val="0"/>
      <b val="1"/>
      <color rgb="FF1E293B"/>
      <sz val="10"/>
    </font>
    <font>
      <name val="Arial"/>
      <charset val="1"/>
      <family val="0"/>
      <color rgb="FF1E293B"/>
      <sz val="12"/>
    </font>
    <font>
      <name val="Arial"/>
      <charset val="1"/>
      <family val="0"/>
      <color rgb="FF1E293B"/>
      <sz val="8"/>
    </font>
    <font>
      <name val="Arial"/>
      <charset val="1"/>
      <family val="0"/>
      <b val="1"/>
      <color rgb="FF6366F1"/>
      <sz val="9"/>
    </font>
    <font>
      <name val="Arial"/>
      <charset val="1"/>
      <family val="0"/>
      <b val="1"/>
      <color rgb="FF0EA5E9"/>
      <sz val="9"/>
    </font>
    <font>
      <name val="Arial"/>
      <charset val="1"/>
      <family val="0"/>
      <b val="1"/>
      <color rgb="FF10B981"/>
      <sz val="9"/>
    </font>
    <font>
      <name val="Arial"/>
      <charset val="1"/>
      <family val="0"/>
      <b val="1"/>
      <color rgb="FFEC4899"/>
      <sz val="9"/>
    </font>
    <font>
      <name val="Arial"/>
      <charset val="1"/>
      <family val="0"/>
      <b val="1"/>
      <color rgb="FFF59E0B"/>
      <sz val="9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6B6D4"/>
      <sz val="9"/>
    </font>
    <font>
      <name val="Arial"/>
      <charset val="1"/>
      <family val="0"/>
      <b val="1"/>
      <color rgb="FFF59E0B"/>
      <sz val="8"/>
    </font>
    <font>
      <name val="Arial"/>
      <charset val="1"/>
      <family val="0"/>
      <b val="1"/>
      <color rgb="FF0891B2"/>
      <sz val="9"/>
    </font>
    <font>
      <name val="Arial"/>
      <charset val="1"/>
      <family val="0"/>
      <b val="1"/>
      <color rgb="FF0891B2"/>
      <sz val="8"/>
    </font>
    <font>
      <name val="Arial"/>
      <family val="2"/>
      <sz val="10"/>
    </font>
    <font>
      <b val="1"/>
      <color rgb="001A3E5C"/>
      <sz val="13"/>
    </font>
    <font>
      <i val="1"/>
      <color rgb="00555555"/>
      <sz val="9"/>
    </font>
    <font>
      <b val="1"/>
      <color rgb="00FFFFFF"/>
      <sz val="9"/>
    </font>
    <font>
      <b val="1"/>
      <color rgb="001A3E5C"/>
      <sz val="8"/>
    </font>
    <font>
      <b val="1"/>
      <color rgb="00FFFFFF"/>
      <sz val="8"/>
    </font>
    <font>
      <b val="1"/>
      <color rgb="00FFFFFF"/>
      <sz val="10"/>
    </font>
    <font>
      <b val="1"/>
      <color rgb="001A3E5C"/>
      <sz val="10"/>
    </font>
    <font>
      <color rgb="00888888"/>
      <sz val="8"/>
    </font>
    <font>
      <sz val="8"/>
    </font>
    <font>
      <sz val="9"/>
    </font>
    <font>
      <b val="1"/>
      <sz val="9"/>
    </font>
  </fonts>
  <fills count="34">
    <fill>
      <patternFill/>
    </fill>
    <fill>
      <patternFill patternType="gray125"/>
    </fill>
    <fill>
      <patternFill patternType="solid">
        <fgColor rgb="FF17375D"/>
        <bgColor rgb="FF1E293B"/>
      </patternFill>
    </fill>
    <fill>
      <patternFill patternType="solid">
        <fgColor rgb="FFFFF2CC"/>
        <bgColor rgb="FFFEF9C3"/>
      </patternFill>
    </fill>
    <fill>
      <patternFill patternType="solid">
        <fgColor rgb="FF1F4E79"/>
        <bgColor rgb="FF17375D"/>
      </patternFill>
    </fill>
    <fill>
      <patternFill patternType="solid">
        <fgColor rgb="FF538135"/>
        <bgColor rgb="FF808000"/>
      </patternFill>
    </fill>
    <fill>
      <patternFill patternType="solid">
        <fgColor rgb="FF2E75B6"/>
        <bgColor rgb="FF2563EB"/>
      </patternFill>
    </fill>
    <fill>
      <patternFill patternType="solid">
        <fgColor rgb="FFDCE6F1"/>
        <bgColor rgb="FFE2E8F0"/>
      </patternFill>
    </fill>
    <fill>
      <patternFill patternType="solid">
        <fgColor rgb="FFC6E0B4"/>
        <bgColor rgb="FFCBD5E1"/>
      </patternFill>
    </fill>
    <fill>
      <patternFill patternType="solid">
        <fgColor rgb="FFBDD7EE"/>
        <bgColor rgb="FFCBD5E1"/>
      </patternFill>
    </fill>
    <fill>
      <patternFill patternType="solid">
        <fgColor rgb="FFFFFFFF"/>
        <bgColor rgb="FFFFFBEB"/>
      </patternFill>
    </fill>
    <fill>
      <patternFill patternType="solid">
        <fgColor rgb="FFFFFDE7"/>
        <bgColor rgb="FFFFFBEB"/>
      </patternFill>
    </fill>
    <fill>
      <patternFill patternType="solid">
        <fgColor rgb="FF0F1624"/>
        <bgColor rgb="FF1A2540"/>
      </patternFill>
    </fill>
    <fill>
      <patternFill patternType="solid">
        <fgColor rgb="FF1A2540"/>
        <bgColor rgb="FF1E293B"/>
      </patternFill>
    </fill>
    <fill>
      <patternFill patternType="solid">
        <fgColor rgb="FFEFF6FF"/>
        <bgColor rgb="FFF5F7FC"/>
      </patternFill>
    </fill>
    <fill>
      <patternFill patternType="solid">
        <fgColor rgb="FFD97706"/>
        <bgColor rgb="FFF59E0B"/>
      </patternFill>
    </fill>
    <fill>
      <patternFill patternType="solid">
        <fgColor rgb="FF2563EB"/>
        <bgColor rgb="FF1D4ED8"/>
      </patternFill>
    </fill>
    <fill>
      <patternFill patternType="solid">
        <fgColor rgb="FFF5F7FC"/>
        <bgColor rgb="FFEFF6FF"/>
      </patternFill>
    </fill>
    <fill>
      <patternFill patternType="solid">
        <fgColor rgb="FFFFFBEB"/>
        <bgColor rgb="FFFFFDE7"/>
      </patternFill>
    </fill>
    <fill>
      <patternFill patternType="solid">
        <fgColor rgb="FF7C3AED"/>
        <bgColor rgb="FF6366F1"/>
      </patternFill>
    </fill>
    <fill>
      <patternFill patternType="solid">
        <fgColor rgb="FF0891B2"/>
        <bgColor rgb="FF0EA5E9"/>
      </patternFill>
    </fill>
    <fill>
      <patternFill patternType="solid">
        <fgColor rgb="FFFFF7ED"/>
        <bgColor rgb="FFFFFBEB"/>
      </patternFill>
    </fill>
    <fill>
      <patternFill patternType="solid">
        <fgColor rgb="FFDBEAFE"/>
        <bgColor rgb="FFDCE6F1"/>
      </patternFill>
    </fill>
    <fill>
      <patternFill patternType="solid">
        <fgColor rgb="FF059669"/>
        <bgColor rgb="FF0891B2"/>
      </patternFill>
    </fill>
    <fill>
      <patternFill patternType="solid">
        <fgColor rgb="FFFEF9C3"/>
        <bgColor rgb="FFFFF2CC"/>
      </patternFill>
    </fill>
    <fill>
      <patternFill patternType="solid">
        <fgColor rgb="001A3E5C"/>
      </patternFill>
    </fill>
    <fill>
      <patternFill patternType="solid">
        <fgColor rgb="00EAEAEA"/>
      </patternFill>
    </fill>
    <fill>
      <patternFill patternType="solid">
        <fgColor rgb="002A6494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7D6"/>
      </patternFill>
    </fill>
    <fill>
      <patternFill patternType="solid">
        <fgColor rgb="00F4F4F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1624"/>
      </left>
      <right/>
      <top style="thin">
        <color rgb="FF0F1624"/>
      </top>
      <bottom style="thin">
        <color rgb="FF0F1624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0F1624"/>
      </top>
      <bottom style="thin">
        <color rgb="FF0F1624"/>
      </bottom>
      <diagonal/>
    </border>
    <border>
      <left/>
      <right style="thin">
        <color rgb="FFCBD5E1"/>
      </right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0F1624"/>
      </top>
      <bottom/>
      <diagonal/>
    </border>
    <border>
      <left style="thin">
        <color rgb="00C2D2DC"/>
      </left>
      <right style="thin">
        <color rgb="00C2D2DC"/>
      </right>
      <top style="thin">
        <color rgb="00C2D2DC"/>
      </top>
      <bottom style="thin">
        <color rgb="00C2D2D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textRotation="90" wrapText="1"/>
    </xf>
    <xf numFmtId="0" fontId="8" fillId="11" borderId="1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4" borderId="2" applyAlignment="1" pivotButton="0" quotePrefix="0" xfId="0">
      <alignment horizontal="right" vertical="center"/>
    </xf>
    <xf numFmtId="0" fontId="0" fillId="0" borderId="8" pivotButton="0" quotePrefix="0" xfId="0"/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/>
    </xf>
    <xf numFmtId="164" fontId="12" fillId="14" borderId="2" applyAlignment="1" pivotButton="0" quotePrefix="0" xfId="0">
      <alignment horizontal="center" vertical="center"/>
    </xf>
    <xf numFmtId="0" fontId="10" fillId="12" borderId="3" applyAlignment="1" pivotButton="0" quotePrefix="0" xfId="0">
      <alignment horizontal="center" vertical="center" wrapText="1"/>
    </xf>
    <xf numFmtId="0" fontId="14" fillId="12" borderId="3" applyAlignment="1" pivotButton="0" quotePrefix="0" xfId="0">
      <alignment horizontal="center" vertical="center" wrapText="1"/>
    </xf>
    <xf numFmtId="0" fontId="15" fillId="12" borderId="3" applyAlignment="1" pivotButton="0" quotePrefix="0" xfId="0">
      <alignment horizontal="center" vertical="center" wrapText="1"/>
    </xf>
    <xf numFmtId="0" fontId="16" fillId="15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/>
    </xf>
    <xf numFmtId="0" fontId="0" fillId="0" borderId="6" pivotButton="0" quotePrefix="0" xfId="0"/>
    <xf numFmtId="0" fontId="18" fillId="16" borderId="3" applyAlignment="1" pivotButton="0" quotePrefix="0" xfId="0">
      <alignment horizontal="center" vertical="center" wrapText="1"/>
    </xf>
    <xf numFmtId="0" fontId="19" fillId="17" borderId="3" applyAlignment="1" pivotButton="0" quotePrefix="0" xfId="0">
      <alignment horizontal="center" vertical="center" wrapText="1"/>
    </xf>
    <xf numFmtId="0" fontId="11" fillId="17" borderId="3" applyAlignment="1" pivotButton="0" quotePrefix="0" xfId="0">
      <alignment horizontal="left" vertical="center" wrapText="1"/>
    </xf>
    <xf numFmtId="0" fontId="20" fillId="17" borderId="3" applyAlignment="1" pivotButton="0" quotePrefix="0" xfId="0">
      <alignment horizontal="left" vertical="center" wrapText="1"/>
    </xf>
    <xf numFmtId="0" fontId="21" fillId="17" borderId="3" applyAlignment="1" pivotButton="0" quotePrefix="0" xfId="0">
      <alignment horizontal="center" vertical="center" wrapText="1"/>
    </xf>
    <xf numFmtId="0" fontId="22" fillId="18" borderId="5" applyAlignment="1" pivotButton="0" quotePrefix="0" xfId="0">
      <alignment horizontal="center" vertical="center"/>
    </xf>
    <xf numFmtId="0" fontId="23" fillId="17" borderId="3" applyAlignment="1" pivotButton="0" quotePrefix="0" xfId="0">
      <alignment horizontal="center" vertical="center"/>
    </xf>
    <xf numFmtId="0" fontId="24" fillId="17" borderId="3" applyAlignment="1" pivotButton="0" quotePrefix="0" xfId="0">
      <alignment horizontal="left" vertical="center" wrapText="1"/>
    </xf>
    <xf numFmtId="0" fontId="25" fillId="10" borderId="3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left" vertical="center" wrapText="1"/>
    </xf>
    <xf numFmtId="0" fontId="20" fillId="10" borderId="3" applyAlignment="1" pivotButton="0" quotePrefix="0" xfId="0">
      <alignment horizontal="left" vertical="center" wrapText="1"/>
    </xf>
    <xf numFmtId="0" fontId="21" fillId="10" borderId="3" applyAlignment="1" pivotButton="0" quotePrefix="0" xfId="0">
      <alignment horizontal="center" vertical="center" wrapText="1"/>
    </xf>
    <xf numFmtId="0" fontId="23" fillId="10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left" vertical="center" wrapText="1"/>
    </xf>
    <xf numFmtId="0" fontId="26" fillId="17" borderId="3" applyAlignment="1" pivotButton="0" quotePrefix="0" xfId="0">
      <alignment horizontal="center" vertical="center" wrapText="1"/>
    </xf>
    <xf numFmtId="0" fontId="27" fillId="10" borderId="3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general" vertical="center"/>
    </xf>
    <xf numFmtId="0" fontId="18" fillId="19" borderId="3" applyAlignment="1" pivotButton="0" quotePrefix="0" xfId="0">
      <alignment horizontal="center" vertical="center" wrapText="1"/>
    </xf>
    <xf numFmtId="0" fontId="19" fillId="10" borderId="3" applyAlignment="1" pivotButton="0" quotePrefix="0" xfId="0">
      <alignment horizontal="center" vertical="center" wrapText="1"/>
    </xf>
    <xf numFmtId="0" fontId="28" fillId="17" borderId="3" applyAlignment="1" pivotButton="0" quotePrefix="0" xfId="0">
      <alignment horizontal="center" vertical="center" wrapText="1"/>
    </xf>
    <xf numFmtId="0" fontId="28" fillId="10" borderId="3" applyAlignment="1" pivotButton="0" quotePrefix="0" xfId="0">
      <alignment horizontal="center" vertical="center" wrapText="1"/>
    </xf>
    <xf numFmtId="0" fontId="18" fillId="20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center" vertical="center" wrapText="1"/>
    </xf>
    <xf numFmtId="0" fontId="29" fillId="17" borderId="3" applyAlignment="1" pivotButton="0" quotePrefix="0" xfId="0">
      <alignment horizontal="left" vertical="center" wrapText="1"/>
    </xf>
    <xf numFmtId="0" fontId="29" fillId="10" borderId="3" applyAlignment="1" pivotButton="0" quotePrefix="0" xfId="0">
      <alignment horizontal="center" vertical="center" wrapText="1"/>
    </xf>
    <xf numFmtId="0" fontId="26" fillId="10" borderId="3" applyAlignment="1" pivotButton="0" quotePrefix="0" xfId="0">
      <alignment horizontal="center" vertical="center" wrapText="1"/>
    </xf>
    <xf numFmtId="0" fontId="30" fillId="17" borderId="3" applyAlignment="1" pivotButton="0" quotePrefix="0" xfId="0">
      <alignment horizontal="center" vertical="center" wrapText="1"/>
    </xf>
    <xf numFmtId="0" fontId="31" fillId="17" borderId="3" applyAlignment="1" pivotButton="0" quotePrefix="0" xfId="0">
      <alignment horizontal="center" vertical="center" wrapText="1"/>
    </xf>
    <xf numFmtId="0" fontId="31" fillId="10" borderId="3" applyAlignment="1" pivotButton="0" quotePrefix="0" xfId="0">
      <alignment horizontal="center" vertical="center" wrapText="1"/>
    </xf>
    <xf numFmtId="0" fontId="27" fillId="17" borderId="3" applyAlignment="1" pivotButton="0" quotePrefix="0" xfId="0">
      <alignment horizontal="center" vertical="center" wrapText="1"/>
    </xf>
    <xf numFmtId="0" fontId="18" fillId="20" borderId="2" applyAlignment="1" pivotButton="0" quotePrefix="0" xfId="0">
      <alignment horizontal="center" vertical="center" wrapText="1"/>
    </xf>
    <xf numFmtId="0" fontId="29" fillId="21" borderId="3" applyAlignment="1" pivotButton="0" quotePrefix="0" xfId="0">
      <alignment horizontal="center" vertical="center"/>
    </xf>
    <xf numFmtId="0" fontId="32" fillId="21" borderId="3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center" vertical="center"/>
    </xf>
    <xf numFmtId="0" fontId="23" fillId="21" borderId="3" applyAlignment="1" pivotButton="0" quotePrefix="0" xfId="0">
      <alignment horizontal="center" vertical="center"/>
    </xf>
    <xf numFmtId="0" fontId="24" fillId="21" borderId="3" applyAlignment="1" pivotButton="0" quotePrefix="0" xfId="0">
      <alignment horizontal="left" vertical="center" wrapText="1"/>
    </xf>
    <xf numFmtId="0" fontId="33" fillId="22" borderId="3" applyAlignment="1" pivotButton="0" quotePrefix="0" xfId="0">
      <alignment horizontal="center" vertical="center"/>
    </xf>
    <xf numFmtId="0" fontId="34" fillId="22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center" vertical="center"/>
    </xf>
    <xf numFmtId="0" fontId="23" fillId="22" borderId="3" applyAlignment="1" pivotButton="0" quotePrefix="0" xfId="0">
      <alignment horizontal="center" vertical="center"/>
    </xf>
    <xf numFmtId="0" fontId="24" fillId="22" borderId="3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center" wrapText="1"/>
    </xf>
    <xf numFmtId="0" fontId="18" fillId="23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0" fontId="0" fillId="0" borderId="0" applyAlignment="1" pivotButton="0" quotePrefix="0" xfId="0">
      <alignment horizontal="center" vertical="center" wrapText="1"/>
    </xf>
    <xf numFmtId="0" fontId="13" fillId="24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general" vertical="bottom"/>
    </xf>
    <xf numFmtId="0" fontId="36" fillId="0" borderId="0" pivotButton="0" quotePrefix="0" xfId="0"/>
    <xf numFmtId="0" fontId="37" fillId="0" borderId="0" pivotButton="0" quotePrefix="0" xfId="0"/>
    <xf numFmtId="0" fontId="41" fillId="27" borderId="11" applyAlignment="1" pivotButton="0" quotePrefix="0" xfId="0">
      <alignment horizontal="center" vertical="center" wrapText="1"/>
    </xf>
    <xf numFmtId="0" fontId="42" fillId="30" borderId="11" applyAlignment="1" pivotButton="0" quotePrefix="0" xfId="0">
      <alignment horizontal="center" vertical="center" wrapText="1"/>
    </xf>
    <xf numFmtId="0" fontId="42" fillId="31" borderId="11" applyAlignment="1" pivotButton="0" quotePrefix="0" xfId="0">
      <alignment horizontal="center" vertical="center" wrapText="1"/>
    </xf>
    <xf numFmtId="0" fontId="38" fillId="25" borderId="11" applyAlignment="1" pivotButton="0" quotePrefix="0" xfId="0">
      <alignment horizontal="center" vertical="center" wrapText="1"/>
    </xf>
    <xf numFmtId="0" fontId="39" fillId="26" borderId="11" applyAlignment="1" pivotButton="0" quotePrefix="0" xfId="0">
      <alignment horizontal="center" vertical="center" wrapText="1"/>
    </xf>
    <xf numFmtId="0" fontId="40" fillId="27" borderId="11" applyAlignment="1" pivotButton="0" quotePrefix="0" xfId="0">
      <alignment horizontal="center" vertical="center" wrapText="1"/>
    </xf>
    <xf numFmtId="0" fontId="39" fillId="28" borderId="11" applyAlignment="1" pivotButton="0" quotePrefix="0" xfId="0">
      <alignment horizontal="center" vertical="center" wrapText="1"/>
    </xf>
    <xf numFmtId="0" fontId="39" fillId="29" borderId="11" applyAlignment="1" pivotButton="0" quotePrefix="0" xfId="0">
      <alignment horizontal="center" vertical="center" wrapText="1"/>
    </xf>
    <xf numFmtId="0" fontId="39" fillId="30" borderId="11" applyAlignment="1" pivotButton="0" quotePrefix="0" xfId="0">
      <alignment horizontal="center" vertical="center" wrapText="1"/>
    </xf>
    <xf numFmtId="0" fontId="39" fillId="31" borderId="11" applyAlignment="1" pivotButton="0" quotePrefix="0" xfId="0">
      <alignment horizontal="center" vertical="center" wrapText="1"/>
    </xf>
    <xf numFmtId="0" fontId="41" fillId="27" borderId="0" pivotButton="0" quotePrefix="0" xfId="0"/>
    <xf numFmtId="0" fontId="0" fillId="27" borderId="0" pivotButton="0" quotePrefix="0" xfId="0"/>
    <xf numFmtId="0" fontId="43" fillId="0" borderId="11" applyAlignment="1" pivotButton="0" quotePrefix="0" xfId="0">
      <alignment horizontal="center" vertical="center" wrapText="1"/>
    </xf>
    <xf numFmtId="0" fontId="44" fillId="0" borderId="11" applyAlignment="1" pivotButton="0" quotePrefix="0" xfId="0">
      <alignment horizontal="left" vertical="center" wrapText="1"/>
    </xf>
    <xf numFmtId="0" fontId="45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1" fontId="0" fillId="32" borderId="11" applyAlignment="1" pivotButton="0" quotePrefix="0" xfId="0">
      <alignment horizontal="center" vertical="center" wrapText="1"/>
    </xf>
    <xf numFmtId="1" fontId="0" fillId="28" borderId="11" applyAlignment="1" pivotButton="0" quotePrefix="0" xfId="0">
      <alignment horizontal="center" vertical="center" wrapText="1"/>
    </xf>
    <xf numFmtId="9" fontId="0" fillId="0" borderId="11" applyAlignment="1" pivotButton="0" quotePrefix="0" xfId="0">
      <alignment horizontal="center" vertical="center" wrapText="1"/>
    </xf>
    <xf numFmtId="1" fontId="0" fillId="30" borderId="11" applyAlignment="1" pivotButton="0" quotePrefix="0" xfId="0">
      <alignment horizontal="center" vertical="center" wrapText="1"/>
    </xf>
    <xf numFmtId="9" fontId="0" fillId="30" borderId="11" applyAlignment="1" pivotButton="0" quotePrefix="0" xfId="0">
      <alignment horizontal="center" vertical="center" wrapText="1"/>
    </xf>
    <xf numFmtId="1" fontId="0" fillId="31" borderId="11" applyAlignment="1" pivotButton="0" quotePrefix="0" xfId="0">
      <alignment horizontal="center" vertical="center" wrapText="1"/>
    </xf>
    <xf numFmtId="9" fontId="0" fillId="31" borderId="11" applyAlignment="1" pivotButton="0" quotePrefix="0" xfId="0">
      <alignment horizontal="center" vertical="center" wrapText="1"/>
    </xf>
    <xf numFmtId="0" fontId="46" fillId="0" borderId="11" applyAlignment="1" pivotButton="0" quotePrefix="0" xfId="0">
      <alignment horizontal="left" vertical="center" wrapText="1"/>
    </xf>
    <xf numFmtId="3" fontId="0" fillId="32" borderId="11" applyAlignment="1" pivotButton="0" quotePrefix="0" xfId="0">
      <alignment horizontal="center" vertical="center" wrapText="1"/>
    </xf>
    <xf numFmtId="3" fontId="0" fillId="28" borderId="11" applyAlignment="1" pivotButton="0" quotePrefix="0" xfId="0">
      <alignment horizontal="center" vertical="center" wrapText="1"/>
    </xf>
    <xf numFmtId="3" fontId="0" fillId="30" borderId="11" applyAlignment="1" pivotButton="0" quotePrefix="0" xfId="0">
      <alignment horizontal="center" vertical="center" wrapText="1"/>
    </xf>
    <xf numFmtId="3" fontId="0" fillId="31" borderId="11" applyAlignment="1" pivotButton="0" quotePrefix="0" xfId="0">
      <alignment horizontal="center" vertical="center" wrapText="1"/>
    </xf>
    <xf numFmtId="9" fontId="0" fillId="32" borderId="11" applyAlignment="1" pivotButton="0" quotePrefix="0" xfId="0">
      <alignment horizontal="center" vertical="center" wrapText="1"/>
    </xf>
    <xf numFmtId="9" fontId="0" fillId="33" borderId="11" applyAlignment="1" pivotButton="0" quotePrefix="0" xfId="0">
      <alignment horizontal="center" vertical="center" wrapText="1"/>
    </xf>
    <xf numFmtId="9" fontId="0" fillId="28" borderId="11" applyAlignment="1" pivotButton="0" quotePrefix="0" xfId="0">
      <alignment horizontal="center" vertical="center" wrapText="1"/>
    </xf>
    <xf numFmtId="165" fontId="0" fillId="32" borderId="11" applyAlignment="1" pivotButton="0" quotePrefix="0" xfId="0">
      <alignment horizontal="center" vertical="center" wrapText="1"/>
    </xf>
    <xf numFmtId="165" fontId="0" fillId="33" borderId="11" applyAlignment="1" pivotButton="0" quotePrefix="0" xfId="0">
      <alignment horizontal="center" vertical="center" wrapText="1"/>
    </xf>
    <xf numFmtId="165" fontId="0" fillId="30" borderId="11" applyAlignment="1" pivotButton="0" quotePrefix="0" xfId="0">
      <alignment horizontal="center" vertical="center" wrapText="1"/>
    </xf>
    <xf numFmtId="165" fontId="0" fillId="31" borderId="11" applyAlignment="1" pivotButton="0" quotePrefix="0" xfId="0">
      <alignment horizontal="center" vertical="center" wrapText="1"/>
    </xf>
    <xf numFmtId="1" fontId="0" fillId="33" borderId="11" applyAlignment="1" pivotButton="0" quotePrefix="0" xfId="0">
      <alignment horizontal="center" vertical="center" wrapText="1"/>
    </xf>
    <xf numFmtId="3" fontId="0" fillId="33" borderId="1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EA5E9"/>
      <rgbColor rgb="FF800000"/>
      <rgbColor rgb="FF2E75B6"/>
      <rgbColor rgb="FF1A2540"/>
      <rgbColor rgb="FF808000"/>
      <rgbColor rgb="FF800080"/>
      <rgbColor rgb="FF059669"/>
      <rgbColor rgb="FFBFBFBF"/>
      <rgbColor rgb="FF6366F1"/>
      <rgbColor rgb="FF3B82F6"/>
      <rgbColor rgb="FF7C3AED"/>
      <rgbColor rgb="FFFEF9C3"/>
      <rgbColor rgb="FFDBEAFE"/>
      <rgbColor rgb="FF660066"/>
      <rgbColor rgb="FFEC4899"/>
      <rgbColor rgb="FF1D4ED8"/>
      <rgbColor rgb="FFCBD5E1"/>
      <rgbColor rgb="FF000080"/>
      <rgbColor rgb="FFFF00FF"/>
      <rgbColor rgb="FFFFFBEB"/>
      <rgbColor rgb="FFF5F7FC"/>
      <rgbColor rgb="FF800080"/>
      <rgbColor rgb="FF800000"/>
      <rgbColor rgb="FF0891B2"/>
      <rgbColor rgb="FF0000FF"/>
      <rgbColor rgb="FF06B6D4"/>
      <rgbColor rgb="FFEFF6FF"/>
      <rgbColor rgb="FFDCE6F1"/>
      <rgbColor rgb="FFFFF2CC"/>
      <rgbColor rgb="FF93C5FD"/>
      <rgbColor rgb="FFC6E0B4"/>
      <rgbColor rgb="FFBDD7EE"/>
      <rgbColor rgb="FFFCD34D"/>
      <rgbColor rgb="FF2563EB"/>
      <rgbColor rgb="FF10B981"/>
      <rgbColor rgb="FFFFF7ED"/>
      <rgbColor rgb="FFE2E8F0"/>
      <rgbColor rgb="FFF59E0B"/>
      <rgbColor rgb="FFD97706"/>
      <rgbColor rgb="FF64748B"/>
      <rgbColor rgb="FF94A3B8"/>
      <rgbColor rgb="FF17375D"/>
      <rgbColor rgb="FF538135"/>
      <rgbColor rgb="FF0F1624"/>
      <rgbColor rgb="FF1E293B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80" min="1" max="1"/>
    <col width="14" customWidth="1" style="80" min="2" max="2"/>
    <col width="25" customWidth="1" style="80" min="3" max="3"/>
    <col width="5" customWidth="1" style="80" min="4" max="4"/>
    <col width="5" customWidth="1" style="80" min="5" max="5"/>
    <col width="8.6" customWidth="1" style="80" min="6" max="6"/>
    <col width="8.6" customWidth="1" style="80" min="7" max="7"/>
    <col width="8.6" customWidth="1" style="80" min="8" max="8"/>
    <col width="8.6" customWidth="1" style="80" min="9" max="9"/>
    <col width="8.6" customWidth="1" style="80" min="10" max="10"/>
    <col width="8.6" customWidth="1" style="80" min="11" max="11"/>
    <col width="8.6" customWidth="1" style="80" min="12" max="12"/>
    <col width="8.6" customWidth="1" style="80" min="13" max="13"/>
    <col width="8.6" customWidth="1" style="80" min="14" max="14"/>
    <col width="8.6" customWidth="1" style="80" min="15" max="15"/>
    <col width="8.6" customWidth="1" style="80" min="16" max="16"/>
    <col width="8.6" customWidth="1" style="80" min="17" max="17"/>
    <col width="8.6" customWidth="1" style="80" min="18" max="18"/>
    <col width="8.6" customWidth="1" style="80" min="19" max="19"/>
    <col width="8.6" customWidth="1" style="80" min="20" max="20"/>
    <col width="8.6" customWidth="1" style="80" min="21" max="21"/>
    <col width="8.6" customWidth="1" style="80" min="22" max="22"/>
    <col width="8.6" customWidth="1" style="80" min="23" max="23"/>
    <col width="8.6" customWidth="1" style="80" min="24" max="24"/>
    <col width="8.6" customWidth="1" style="80" min="25" max="25"/>
    <col width="8.6" customWidth="1" style="80" min="26" max="26"/>
    <col width="8.6" customWidth="1" style="80" min="27" max="27"/>
    <col width="8.6" customWidth="1" style="80" min="28" max="28"/>
    <col width="8.6" customWidth="1" style="80" min="29" max="29"/>
    <col width="8.6" customWidth="1" style="80" min="30" max="30"/>
    <col width="8.6" customWidth="1" style="80" min="31" max="31"/>
    <col width="8.6" customWidth="1" style="80" min="32" max="32"/>
    <col width="8.6" customWidth="1" style="80" min="33" max="33"/>
    <col width="8.6" customWidth="1" style="80" min="34" max="34"/>
    <col width="8.6" customWidth="1" style="80" min="35" max="35"/>
    <col width="8.6" customWidth="1" style="80" min="36" max="36"/>
    <col width="8.6" customWidth="1" style="80" min="37" max="37"/>
    <col width="8.6" customWidth="1" style="80" min="38" max="38"/>
    <col width="8.6" customWidth="1" style="80" min="39" max="39"/>
    <col width="8.6" customWidth="1" style="80" min="40" max="40"/>
    <col width="8.6" customWidth="1" style="80" min="41" max="41"/>
    <col width="8.6" customWidth="1" style="80" min="42" max="42"/>
    <col width="8.6" customWidth="1" style="80" min="43" max="43"/>
    <col width="8.6" customWidth="1" style="80" min="44" max="44"/>
    <col width="8.6" customWidth="1" style="80" min="45" max="45"/>
    <col width="8.6" customWidth="1" style="80" min="46" max="46"/>
    <col width="8.6" customWidth="1" style="80" min="47" max="47"/>
    <col width="8.6" customWidth="1" style="80" min="48" max="48"/>
    <col width="8.6" customWidth="1" style="80" min="49" max="49"/>
    <col width="8.6" customWidth="1" style="80" min="50" max="50"/>
    <col width="8.6" customWidth="1" style="80" min="51" max="51"/>
    <col width="8.6" customWidth="1" style="80" min="52" max="52"/>
    <col width="8.6" customWidth="1" style="80" min="53" max="53"/>
    <col width="8.6" customWidth="1" style="80" min="54" max="54"/>
    <col width="8.6" customWidth="1" style="80" min="55" max="55"/>
    <col width="8.6" customWidth="1" style="80" min="56" max="56"/>
    <col width="8.6" customWidth="1" style="80" min="57" max="57"/>
    <col width="8.6" customWidth="1" style="80" min="58" max="58"/>
    <col width="8.6" customWidth="1" style="80" min="59" max="59"/>
    <col width="8.6" customWidth="1" style="80" min="60" max="60"/>
    <col width="8.6" customWidth="1" style="80" min="61" max="61"/>
    <col width="8.6" customWidth="1" style="80" min="62" max="62"/>
    <col width="8.6" customWidth="1" style="80" min="63" max="63"/>
    <col width="8.6" customWidth="1" style="80" min="64" max="64"/>
    <col width="8.6" customWidth="1" style="80" min="65" max="65"/>
    <col width="8.6" customWidth="1" style="80" min="66" max="66"/>
    <col width="8.6" customWidth="1" style="80" min="67" max="67"/>
    <col width="8.6" customWidth="1" style="80" min="68" max="68"/>
    <col width="8.6" customWidth="1" style="80" min="69" max="69"/>
    <col width="8.6" customWidth="1" style="80" min="70" max="70"/>
    <col width="8.6" customWidth="1" style="80" min="71" max="71"/>
    <col width="8.6" customWidth="1" style="80" min="72" max="72"/>
  </cols>
  <sheetData>
    <row r="1">
      <c r="A1" s="161" t="inlineStr">
        <is>
          <t>GIS-POINT · ДАШБОРД КЕРІВНИКА · 2026 H2 — План → тижні → Факт → % виконання</t>
        </is>
      </c>
    </row>
    <row r="2">
      <c r="A2" s="162" t="inlineStr">
        <is>
          <t>Жовте = ввід (План + тижні). «Факт на місяць» і «% виконання» рахуються автоматично. Квартал і півріччя — авто.</t>
        </is>
      </c>
    </row>
    <row r="3" ht="18" customHeight="1" s="80">
      <c r="F3" s="163" t="inlineStr">
        <is>
          <t>Червень 2026</t>
        </is>
      </c>
      <c r="N3" s="163" t="inlineStr">
        <is>
          <t>Липень 2026</t>
        </is>
      </c>
      <c r="V3" s="163" t="inlineStr">
        <is>
          <t>Серпень 2026</t>
        </is>
      </c>
      <c r="AE3" s="163" t="inlineStr">
        <is>
          <t>Вересень 2026</t>
        </is>
      </c>
      <c r="AM3" s="164" t="inlineStr">
        <is>
          <t>Q3</t>
        </is>
      </c>
      <c r="AP3" s="163" t="inlineStr">
        <is>
          <t>Жовтень 2026</t>
        </is>
      </c>
      <c r="AX3" s="163" t="inlineStr">
        <is>
          <t>Листопад 2026</t>
        </is>
      </c>
      <c r="BG3" s="163" t="inlineStr">
        <is>
          <t>Грудень 2026</t>
        </is>
      </c>
      <c r="BO3" s="164" t="inlineStr">
        <is>
          <t>Q4</t>
        </is>
      </c>
      <c r="BR3" s="165" t="inlineStr">
        <is>
          <t>H2</t>
        </is>
      </c>
    </row>
    <row r="4" ht="30" customHeight="1" s="80">
      <c r="A4" s="166" t="inlineStr">
        <is>
          <t>БЛОК</t>
        </is>
      </c>
      <c r="B4" s="166" t="inlineStr">
        <is>
          <t>РОЛЬ</t>
        </is>
      </c>
      <c r="C4" s="166" t="inlineStr">
        <is>
          <t>МЕТРИКА</t>
        </is>
      </c>
      <c r="D4" s="166" t="inlineStr">
        <is>
          <t>Од.</t>
        </is>
      </c>
      <c r="E4" s="166" t="inlineStr">
        <is>
          <t>Тип</t>
        </is>
      </c>
      <c r="F4" s="167" t="inlineStr">
        <is>
          <t>План
Червень</t>
        </is>
      </c>
      <c r="G4" s="168" t="inlineStr">
        <is>
          <t>01.06-07.06</t>
        </is>
      </c>
      <c r="H4" s="168" t="inlineStr">
        <is>
          <t>08.06-14.06</t>
        </is>
      </c>
      <c r="I4" s="168" t="inlineStr">
        <is>
          <t>15.06-19.06</t>
        </is>
      </c>
      <c r="J4" s="168" t="inlineStr">
        <is>
          <t>22.06-26.06</t>
        </is>
      </c>
      <c r="K4" s="168" t="inlineStr">
        <is>
          <t>29.06-30.06</t>
        </is>
      </c>
      <c r="L4" s="169" t="inlineStr">
        <is>
          <t>Факт
Червень</t>
        </is>
      </c>
      <c r="M4" s="170" t="inlineStr">
        <is>
          <t>% вик.</t>
        </is>
      </c>
      <c r="N4" s="167" t="inlineStr">
        <is>
          <t>План
Липень</t>
        </is>
      </c>
      <c r="O4" s="168" t="inlineStr">
        <is>
          <t>01.07-05.07</t>
        </is>
      </c>
      <c r="P4" s="168" t="inlineStr">
        <is>
          <t>06.07-12.07</t>
        </is>
      </c>
      <c r="Q4" s="168" t="inlineStr">
        <is>
          <t>13.07-19.07</t>
        </is>
      </c>
      <c r="R4" s="168" t="inlineStr">
        <is>
          <t>20.07-26.07</t>
        </is>
      </c>
      <c r="S4" s="168" t="inlineStr">
        <is>
          <t>27.07-31.07</t>
        </is>
      </c>
      <c r="T4" s="169" t="inlineStr">
        <is>
          <t>Факт
Липень</t>
        </is>
      </c>
      <c r="U4" s="170" t="inlineStr">
        <is>
          <t>% вик.</t>
        </is>
      </c>
      <c r="V4" s="167" t="inlineStr">
        <is>
          <t>План
Серпень</t>
        </is>
      </c>
      <c r="W4" s="168" t="inlineStr">
        <is>
          <t>01.08-02.08</t>
        </is>
      </c>
      <c r="X4" s="168" t="inlineStr">
        <is>
          <t>03.08-09.08</t>
        </is>
      </c>
      <c r="Y4" s="168" t="inlineStr">
        <is>
          <t>10.08-16.08</t>
        </is>
      </c>
      <c r="Z4" s="168" t="inlineStr">
        <is>
          <t>17.08-23.08</t>
        </is>
      </c>
      <c r="AA4" s="168" t="inlineStr">
        <is>
          <t>24.08-30.08</t>
        </is>
      </c>
      <c r="AB4" s="168" t="inlineStr">
        <is>
          <t>31.08-31.08</t>
        </is>
      </c>
      <c r="AC4" s="169" t="inlineStr">
        <is>
          <t>Факт
Серпень</t>
        </is>
      </c>
      <c r="AD4" s="170" t="inlineStr">
        <is>
          <t>% вик.</t>
        </is>
      </c>
      <c r="AE4" s="167" t="inlineStr">
        <is>
          <t>План
Вересень</t>
        </is>
      </c>
      <c r="AF4" s="168" t="inlineStr">
        <is>
          <t>01.09-06.09</t>
        </is>
      </c>
      <c r="AG4" s="168" t="inlineStr">
        <is>
          <t>07.09-13.09</t>
        </is>
      </c>
      <c r="AH4" s="168" t="inlineStr">
        <is>
          <t>14.09-20.09</t>
        </is>
      </c>
      <c r="AI4" s="168" t="inlineStr">
        <is>
          <t>21.09-27.09</t>
        </is>
      </c>
      <c r="AJ4" s="168" t="inlineStr">
        <is>
          <t>28.09-30.09</t>
        </is>
      </c>
      <c r="AK4" s="169" t="inlineStr">
        <is>
          <t>Факт
Вересень</t>
        </is>
      </c>
      <c r="AL4" s="170" t="inlineStr">
        <is>
          <t>% вик.</t>
        </is>
      </c>
      <c r="AM4" s="171" t="inlineStr">
        <is>
          <t>Q3 План</t>
        </is>
      </c>
      <c r="AN4" s="171" t="inlineStr">
        <is>
          <t>Q3 Факт</t>
        </is>
      </c>
      <c r="AO4" s="171" t="inlineStr">
        <is>
          <t>Q3 %</t>
        </is>
      </c>
      <c r="AP4" s="167" t="inlineStr">
        <is>
          <t>План
Жовтень</t>
        </is>
      </c>
      <c r="AQ4" s="168" t="inlineStr">
        <is>
          <t>01.10-04.10</t>
        </is>
      </c>
      <c r="AR4" s="168" t="inlineStr">
        <is>
          <t>05.10-11.10</t>
        </is>
      </c>
      <c r="AS4" s="168" t="inlineStr">
        <is>
          <t>12.10-18.10</t>
        </is>
      </c>
      <c r="AT4" s="168" t="inlineStr">
        <is>
          <t>19.10-25.10</t>
        </is>
      </c>
      <c r="AU4" s="168" t="inlineStr">
        <is>
          <t>26.10-31.10</t>
        </is>
      </c>
      <c r="AV4" s="169" t="inlineStr">
        <is>
          <t>Факт
Жовтень</t>
        </is>
      </c>
      <c r="AW4" s="170" t="inlineStr">
        <is>
          <t>% вик.</t>
        </is>
      </c>
      <c r="AX4" s="167" t="inlineStr">
        <is>
          <t>План
Листопад</t>
        </is>
      </c>
      <c r="AY4" s="168" t="inlineStr">
        <is>
          <t>01.11-01.11</t>
        </is>
      </c>
      <c r="AZ4" s="168" t="inlineStr">
        <is>
          <t>02.11-08.11</t>
        </is>
      </c>
      <c r="BA4" s="168" t="inlineStr">
        <is>
          <t>09.11-15.11</t>
        </is>
      </c>
      <c r="BB4" s="168" t="inlineStr">
        <is>
          <t>16.11-22.11</t>
        </is>
      </c>
      <c r="BC4" s="168" t="inlineStr">
        <is>
          <t>23.11-29.11</t>
        </is>
      </c>
      <c r="BD4" s="168" t="inlineStr">
        <is>
          <t>30.11-30.11</t>
        </is>
      </c>
      <c r="BE4" s="169" t="inlineStr">
        <is>
          <t>Факт
Листопад</t>
        </is>
      </c>
      <c r="BF4" s="170" t="inlineStr">
        <is>
          <t>% вик.</t>
        </is>
      </c>
      <c r="BG4" s="167" t="inlineStr">
        <is>
          <t>План
Грудень</t>
        </is>
      </c>
      <c r="BH4" s="168" t="inlineStr">
        <is>
          <t>01.12-06.12</t>
        </is>
      </c>
      <c r="BI4" s="168" t="inlineStr">
        <is>
          <t>07.12-13.12</t>
        </is>
      </c>
      <c r="BJ4" s="168" t="inlineStr">
        <is>
          <t>14.12-20.12</t>
        </is>
      </c>
      <c r="BK4" s="168" t="inlineStr">
        <is>
          <t>21.12-27.12</t>
        </is>
      </c>
      <c r="BL4" s="168" t="inlineStr">
        <is>
          <t>28.12-31.12</t>
        </is>
      </c>
      <c r="BM4" s="169" t="inlineStr">
        <is>
          <t>Факт
Грудень</t>
        </is>
      </c>
      <c r="BN4" s="170" t="inlineStr">
        <is>
          <t>% вик.</t>
        </is>
      </c>
      <c r="BO4" s="171" t="inlineStr">
        <is>
          <t>Q4 План</t>
        </is>
      </c>
      <c r="BP4" s="171" t="inlineStr">
        <is>
          <t>Q4 Факт</t>
        </is>
      </c>
      <c r="BQ4" s="171" t="inlineStr">
        <is>
          <t>Q4 %</t>
        </is>
      </c>
      <c r="BR4" s="172" t="inlineStr">
        <is>
          <t>H2 План</t>
        </is>
      </c>
      <c r="BS4" s="172" t="inlineStr">
        <is>
          <t>H2 Факт</t>
        </is>
      </c>
      <c r="BT4" s="172" t="inlineStr">
        <is>
          <t>H2 %</t>
        </is>
      </c>
    </row>
    <row r="5">
      <c r="A5" s="173" t="inlineStr">
        <is>
          <t>▌ ВОРОНКА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  <c r="Z5" s="174" t="n"/>
      <c r="AA5" s="174" t="n"/>
      <c r="AB5" s="174" t="n"/>
      <c r="AC5" s="174" t="n"/>
      <c r="AD5" s="174" t="n"/>
      <c r="AE5" s="174" t="n"/>
      <c r="AF5" s="174" t="n"/>
      <c r="AG5" s="174" t="n"/>
      <c r="AH5" s="174" t="n"/>
      <c r="AI5" s="174" t="n"/>
      <c r="AJ5" s="174" t="n"/>
      <c r="AK5" s="174" t="n"/>
      <c r="AL5" s="174" t="n"/>
      <c r="AM5" s="174" t="n"/>
      <c r="AN5" s="174" t="n"/>
      <c r="AO5" s="174" t="n"/>
      <c r="AP5" s="174" t="n"/>
      <c r="AQ5" s="174" t="n"/>
      <c r="AR5" s="174" t="n"/>
      <c r="AS5" s="174" t="n"/>
      <c r="AT5" s="174" t="n"/>
      <c r="AU5" s="174" t="n"/>
      <c r="AV5" s="174" t="n"/>
      <c r="AW5" s="174" t="n"/>
      <c r="AX5" s="174" t="n"/>
      <c r="AY5" s="174" t="n"/>
      <c r="AZ5" s="174" t="n"/>
      <c r="BA5" s="174" t="n"/>
      <c r="BB5" s="174" t="n"/>
      <c r="BC5" s="174" t="n"/>
      <c r="BD5" s="174" t="n"/>
      <c r="BE5" s="174" t="n"/>
      <c r="BF5" s="174" t="n"/>
      <c r="BG5" s="174" t="n"/>
      <c r="BH5" s="174" t="n"/>
      <c r="BI5" s="174" t="n"/>
      <c r="BJ5" s="174" t="n"/>
      <c r="BK5" s="174" t="n"/>
      <c r="BL5" s="174" t="n"/>
      <c r="BM5" s="174" t="n"/>
      <c r="BN5" s="174" t="n"/>
      <c r="BO5" s="174" t="n"/>
      <c r="BP5" s="174" t="n"/>
      <c r="BQ5" s="174" t="n"/>
      <c r="BR5" s="174" t="n"/>
      <c r="BS5" s="174" t="n"/>
      <c r="BT5" s="174" t="n"/>
    </row>
    <row r="6">
      <c r="A6" s="175" t="inlineStr">
        <is>
          <t>ВОРОНКА</t>
        </is>
      </c>
      <c r="B6" s="176" t="inlineStr">
        <is>
          <t>Lead gen</t>
        </is>
      </c>
      <c r="C6" s="177" t="inlineStr">
        <is>
          <t>Company</t>
        </is>
      </c>
      <c r="D6" s="178" t="inlineStr">
        <is>
          <t>шт</t>
        </is>
      </c>
      <c r="E6" s="178" t="inlineStr">
        <is>
          <t>Σ</t>
        </is>
      </c>
      <c r="F6" s="179" t="n"/>
      <c r="G6" s="179" t="n"/>
      <c r="H6" s="179" t="n"/>
      <c r="I6" s="179" t="n"/>
      <c r="J6" s="179" t="n"/>
      <c r="K6" s="179" t="n"/>
      <c r="L6" s="180">
        <f>SUM(G6:K6)</f>
        <v/>
      </c>
      <c r="M6" s="181">
        <f>IFERROR(L6/F6,"")</f>
        <v/>
      </c>
      <c r="N6" s="179" t="n"/>
      <c r="O6" s="179" t="n"/>
      <c r="P6" s="179" t="n"/>
      <c r="Q6" s="179" t="n"/>
      <c r="R6" s="179" t="n"/>
      <c r="S6" s="179" t="n"/>
      <c r="T6" s="180">
        <f>SUM(O6:S6)</f>
        <v/>
      </c>
      <c r="U6" s="181">
        <f>IFERROR(T6/N6,"")</f>
        <v/>
      </c>
      <c r="V6" s="179" t="n"/>
      <c r="W6" s="179" t="n"/>
      <c r="X6" s="179" t="n"/>
      <c r="Y6" s="179" t="n"/>
      <c r="Z6" s="179" t="n"/>
      <c r="AA6" s="179" t="n"/>
      <c r="AB6" s="179" t="n"/>
      <c r="AC6" s="180">
        <f>SUM(W6:AB6)</f>
        <v/>
      </c>
      <c r="AD6" s="181">
        <f>IFERROR(AC6/V6,"")</f>
        <v/>
      </c>
      <c r="AE6" s="179" t="n"/>
      <c r="AF6" s="179" t="n"/>
      <c r="AG6" s="179" t="n"/>
      <c r="AH6" s="179" t="n"/>
      <c r="AI6" s="179" t="n"/>
      <c r="AJ6" s="179" t="n"/>
      <c r="AK6" s="180">
        <f>SUM(AF6:AJ6)</f>
        <v/>
      </c>
      <c r="AL6" s="181">
        <f>IFERROR(AK6/AE6,"")</f>
        <v/>
      </c>
      <c r="AM6" s="182">
        <f>N6+V6+AE6</f>
        <v/>
      </c>
      <c r="AN6" s="182">
        <f>T6+AC6+AK6</f>
        <v/>
      </c>
      <c r="AO6" s="183">
        <f>IFERROR(AN6/AM6,"")</f>
        <v/>
      </c>
      <c r="AP6" s="179" t="n"/>
      <c r="AQ6" s="179" t="n"/>
      <c r="AR6" s="179" t="n"/>
      <c r="AS6" s="179" t="n"/>
      <c r="AT6" s="179" t="n"/>
      <c r="AU6" s="179" t="n"/>
      <c r="AV6" s="180">
        <f>SUM(AQ6:AU6)</f>
        <v/>
      </c>
      <c r="AW6" s="181">
        <f>IFERROR(AV6/AP6,"")</f>
        <v/>
      </c>
      <c r="AX6" s="179" t="n"/>
      <c r="AY6" s="179" t="n"/>
      <c r="AZ6" s="179" t="n"/>
      <c r="BA6" s="179" t="n"/>
      <c r="BB6" s="179" t="n"/>
      <c r="BC6" s="179" t="n"/>
      <c r="BD6" s="179" t="n"/>
      <c r="BE6" s="180">
        <f>SUM(AY6:BD6)</f>
        <v/>
      </c>
      <c r="BF6" s="181">
        <f>IFERROR(BE6/AX6,"")</f>
        <v/>
      </c>
      <c r="BG6" s="179" t="n"/>
      <c r="BH6" s="179" t="n"/>
      <c r="BI6" s="179" t="n"/>
      <c r="BJ6" s="179" t="n"/>
      <c r="BK6" s="179" t="n"/>
      <c r="BL6" s="179" t="n"/>
      <c r="BM6" s="180">
        <f>SUM(BH6:BL6)</f>
        <v/>
      </c>
      <c r="BN6" s="181">
        <f>IFERROR(BM6/BG6,"")</f>
        <v/>
      </c>
      <c r="BO6" s="182">
        <f>AP6+AX6+BG6</f>
        <v/>
      </c>
      <c r="BP6" s="182">
        <f>AV6+BE6+BM6</f>
        <v/>
      </c>
      <c r="BQ6" s="183">
        <f>IFERROR(BP6/BO6,"")</f>
        <v/>
      </c>
      <c r="BR6" s="184">
        <f>N6+V6+AE6+AP6+AX6+BG6</f>
        <v/>
      </c>
      <c r="BS6" s="184">
        <f>T6+AC6+AK6+AV6+BE6+BM6</f>
        <v/>
      </c>
      <c r="BT6" s="185">
        <f>IFERROR(BS6/BR6,"")</f>
        <v/>
      </c>
    </row>
    <row r="7">
      <c r="A7" s="175" t="inlineStr">
        <is>
          <t>ВОРОНКА</t>
        </is>
      </c>
      <c r="B7" s="176" t="inlineStr">
        <is>
          <t>Lead gen</t>
        </is>
      </c>
      <c r="C7" s="177" t="inlineStr">
        <is>
          <t>Raw Leads</t>
        </is>
      </c>
      <c r="D7" s="178" t="inlineStr">
        <is>
          <t>шт</t>
        </is>
      </c>
      <c r="E7" s="178" t="inlineStr">
        <is>
          <t>Σ</t>
        </is>
      </c>
      <c r="F7" s="179" t="n"/>
      <c r="G7" s="179" t="n"/>
      <c r="H7" s="179" t="n"/>
      <c r="I7" s="179" t="n"/>
      <c r="J7" s="179" t="n"/>
      <c r="K7" s="179" t="n"/>
      <c r="L7" s="180">
        <f>SUM(G7:K7)</f>
        <v/>
      </c>
      <c r="M7" s="181">
        <f>IFERROR(L7/F7,"")</f>
        <v/>
      </c>
      <c r="N7" s="179" t="n"/>
      <c r="O7" s="179" t="n"/>
      <c r="P7" s="179" t="n"/>
      <c r="Q7" s="179" t="n"/>
      <c r="R7" s="179" t="n"/>
      <c r="S7" s="179" t="n"/>
      <c r="T7" s="180">
        <f>SUM(O7:S7)</f>
        <v/>
      </c>
      <c r="U7" s="181">
        <f>IFERROR(T7/N7,"")</f>
        <v/>
      </c>
      <c r="V7" s="179" t="n"/>
      <c r="W7" s="179" t="n"/>
      <c r="X7" s="179" t="n"/>
      <c r="Y7" s="179" t="n"/>
      <c r="Z7" s="179" t="n"/>
      <c r="AA7" s="179" t="n"/>
      <c r="AB7" s="179" t="n"/>
      <c r="AC7" s="180">
        <f>SUM(W7:AB7)</f>
        <v/>
      </c>
      <c r="AD7" s="181">
        <f>IFERROR(AC7/V7,"")</f>
        <v/>
      </c>
      <c r="AE7" s="179" t="n"/>
      <c r="AF7" s="179" t="n"/>
      <c r="AG7" s="179" t="n"/>
      <c r="AH7" s="179" t="n"/>
      <c r="AI7" s="179" t="n"/>
      <c r="AJ7" s="179" t="n"/>
      <c r="AK7" s="180">
        <f>SUM(AF7:AJ7)</f>
        <v/>
      </c>
      <c r="AL7" s="181">
        <f>IFERROR(AK7/AE7,"")</f>
        <v/>
      </c>
      <c r="AM7" s="182">
        <f>N7+V7+AE7</f>
        <v/>
      </c>
      <c r="AN7" s="182">
        <f>T7+AC7+AK7</f>
        <v/>
      </c>
      <c r="AO7" s="183">
        <f>IFERROR(AN7/AM7,"")</f>
        <v/>
      </c>
      <c r="AP7" s="179" t="n"/>
      <c r="AQ7" s="179" t="n"/>
      <c r="AR7" s="179" t="n"/>
      <c r="AS7" s="179" t="n"/>
      <c r="AT7" s="179" t="n"/>
      <c r="AU7" s="179" t="n"/>
      <c r="AV7" s="180">
        <f>SUM(AQ7:AU7)</f>
        <v/>
      </c>
      <c r="AW7" s="181">
        <f>IFERROR(AV7/AP7,"")</f>
        <v/>
      </c>
      <c r="AX7" s="179" t="n"/>
      <c r="AY7" s="179" t="n"/>
      <c r="AZ7" s="179" t="n"/>
      <c r="BA7" s="179" t="n"/>
      <c r="BB7" s="179" t="n"/>
      <c r="BC7" s="179" t="n"/>
      <c r="BD7" s="179" t="n"/>
      <c r="BE7" s="180">
        <f>SUM(AY7:BD7)</f>
        <v/>
      </c>
      <c r="BF7" s="181">
        <f>IFERROR(BE7/AX7,"")</f>
        <v/>
      </c>
      <c r="BG7" s="179" t="n"/>
      <c r="BH7" s="179" t="n"/>
      <c r="BI7" s="179" t="n"/>
      <c r="BJ7" s="179" t="n"/>
      <c r="BK7" s="179" t="n"/>
      <c r="BL7" s="179" t="n"/>
      <c r="BM7" s="180">
        <f>SUM(BH7:BL7)</f>
        <v/>
      </c>
      <c r="BN7" s="181">
        <f>IFERROR(BM7/BG7,"")</f>
        <v/>
      </c>
      <c r="BO7" s="182">
        <f>AP7+AX7+BG7</f>
        <v/>
      </c>
      <c r="BP7" s="182">
        <f>AV7+BE7+BM7</f>
        <v/>
      </c>
      <c r="BQ7" s="183">
        <f>IFERROR(BP7/BO7,"")</f>
        <v/>
      </c>
      <c r="BR7" s="184">
        <f>N7+V7+AE7+AP7+AX7+BG7</f>
        <v/>
      </c>
      <c r="BS7" s="184">
        <f>T7+AC7+AK7+AV7+BE7+BM7</f>
        <v/>
      </c>
      <c r="BT7" s="185">
        <f>IFERROR(BS7/BR7,"")</f>
        <v/>
      </c>
    </row>
    <row r="8">
      <c r="A8" s="175" t="inlineStr">
        <is>
          <t>ВОРОНКА</t>
        </is>
      </c>
      <c r="B8" s="176" t="inlineStr">
        <is>
          <t>Lead gen</t>
        </is>
      </c>
      <c r="C8" s="177" t="inlineStr">
        <is>
          <t>Accepted Leads</t>
        </is>
      </c>
      <c r="D8" s="178" t="inlineStr">
        <is>
          <t>шт</t>
        </is>
      </c>
      <c r="E8" s="178" t="inlineStr">
        <is>
          <t>Σ</t>
        </is>
      </c>
      <c r="F8" s="179" t="n"/>
      <c r="G8" s="179" t="n"/>
      <c r="H8" s="179" t="n"/>
      <c r="I8" s="179" t="n"/>
      <c r="J8" s="179" t="n"/>
      <c r="K8" s="179" t="n"/>
      <c r="L8" s="180">
        <f>SUM(G8:K8)</f>
        <v/>
      </c>
      <c r="M8" s="181">
        <f>IFERROR(L8/F8,"")</f>
        <v/>
      </c>
      <c r="N8" s="179" t="n"/>
      <c r="O8" s="179" t="n"/>
      <c r="P8" s="179" t="n"/>
      <c r="Q8" s="179" t="n"/>
      <c r="R8" s="179" t="n"/>
      <c r="S8" s="179" t="n"/>
      <c r="T8" s="180">
        <f>SUM(O8:S8)</f>
        <v/>
      </c>
      <c r="U8" s="181">
        <f>IFERROR(T8/N8,"")</f>
        <v/>
      </c>
      <c r="V8" s="179" t="n"/>
      <c r="W8" s="179" t="n"/>
      <c r="X8" s="179" t="n"/>
      <c r="Y8" s="179" t="n"/>
      <c r="Z8" s="179" t="n"/>
      <c r="AA8" s="179" t="n"/>
      <c r="AB8" s="179" t="n"/>
      <c r="AC8" s="180">
        <f>SUM(W8:AB8)</f>
        <v/>
      </c>
      <c r="AD8" s="181">
        <f>IFERROR(AC8/V8,"")</f>
        <v/>
      </c>
      <c r="AE8" s="179" t="n"/>
      <c r="AF8" s="179" t="n"/>
      <c r="AG8" s="179" t="n"/>
      <c r="AH8" s="179" t="n"/>
      <c r="AI8" s="179" t="n"/>
      <c r="AJ8" s="179" t="n"/>
      <c r="AK8" s="180">
        <f>SUM(AF8:AJ8)</f>
        <v/>
      </c>
      <c r="AL8" s="181">
        <f>IFERROR(AK8/AE8,"")</f>
        <v/>
      </c>
      <c r="AM8" s="182">
        <f>N8+V8+AE8</f>
        <v/>
      </c>
      <c r="AN8" s="182">
        <f>T8+AC8+AK8</f>
        <v/>
      </c>
      <c r="AO8" s="183">
        <f>IFERROR(AN8/AM8,"")</f>
        <v/>
      </c>
      <c r="AP8" s="179" t="n"/>
      <c r="AQ8" s="179" t="n"/>
      <c r="AR8" s="179" t="n"/>
      <c r="AS8" s="179" t="n"/>
      <c r="AT8" s="179" t="n"/>
      <c r="AU8" s="179" t="n"/>
      <c r="AV8" s="180">
        <f>SUM(AQ8:AU8)</f>
        <v/>
      </c>
      <c r="AW8" s="181">
        <f>IFERROR(AV8/AP8,"")</f>
        <v/>
      </c>
      <c r="AX8" s="179" t="n"/>
      <c r="AY8" s="179" t="n"/>
      <c r="AZ8" s="179" t="n"/>
      <c r="BA8" s="179" t="n"/>
      <c r="BB8" s="179" t="n"/>
      <c r="BC8" s="179" t="n"/>
      <c r="BD8" s="179" t="n"/>
      <c r="BE8" s="180">
        <f>SUM(AY8:BD8)</f>
        <v/>
      </c>
      <c r="BF8" s="181">
        <f>IFERROR(BE8/AX8,"")</f>
        <v/>
      </c>
      <c r="BG8" s="179" t="n"/>
      <c r="BH8" s="179" t="n"/>
      <c r="BI8" s="179" t="n"/>
      <c r="BJ8" s="179" t="n"/>
      <c r="BK8" s="179" t="n"/>
      <c r="BL8" s="179" t="n"/>
      <c r="BM8" s="180">
        <f>SUM(BH8:BL8)</f>
        <v/>
      </c>
      <c r="BN8" s="181">
        <f>IFERROR(BM8/BG8,"")</f>
        <v/>
      </c>
      <c r="BO8" s="182">
        <f>AP8+AX8+BG8</f>
        <v/>
      </c>
      <c r="BP8" s="182">
        <f>AV8+BE8+BM8</f>
        <v/>
      </c>
      <c r="BQ8" s="183">
        <f>IFERROR(BP8/BO8,"")</f>
        <v/>
      </c>
      <c r="BR8" s="184">
        <f>N8+V8+AE8+AP8+AX8+BG8</f>
        <v/>
      </c>
      <c r="BS8" s="184">
        <f>T8+AC8+AK8+AV8+BE8+BM8</f>
        <v/>
      </c>
      <c r="BT8" s="185">
        <f>IFERROR(BS8/BR8,"")</f>
        <v/>
      </c>
    </row>
    <row r="9">
      <c r="A9" s="175" t="inlineStr">
        <is>
          <t>ВОРОНКА</t>
        </is>
      </c>
      <c r="B9" s="176" t="inlineStr">
        <is>
          <t>Lead gen</t>
        </is>
      </c>
      <c r="C9" s="177" t="inlineStr">
        <is>
          <t>Emails sent</t>
        </is>
      </c>
      <c r="D9" s="178" t="inlineStr">
        <is>
          <t>шт</t>
        </is>
      </c>
      <c r="E9" s="178" t="inlineStr">
        <is>
          <t>Σ</t>
        </is>
      </c>
      <c r="F9" s="179" t="n"/>
      <c r="G9" s="179" t="n"/>
      <c r="H9" s="179" t="n"/>
      <c r="I9" s="179" t="n"/>
      <c r="J9" s="179" t="n"/>
      <c r="K9" s="179" t="n"/>
      <c r="L9" s="180">
        <f>SUM(G9:K9)</f>
        <v/>
      </c>
      <c r="M9" s="181">
        <f>IFERROR(L9/F9,"")</f>
        <v/>
      </c>
      <c r="N9" s="179" t="n"/>
      <c r="O9" s="179" t="n"/>
      <c r="P9" s="179" t="n"/>
      <c r="Q9" s="179" t="n"/>
      <c r="R9" s="179" t="n"/>
      <c r="S9" s="179" t="n"/>
      <c r="T9" s="180">
        <f>SUM(O9:S9)</f>
        <v/>
      </c>
      <c r="U9" s="181">
        <f>IFERROR(T9/N9,"")</f>
        <v/>
      </c>
      <c r="V9" s="179" t="n"/>
      <c r="W9" s="179" t="n"/>
      <c r="X9" s="179" t="n"/>
      <c r="Y9" s="179" t="n"/>
      <c r="Z9" s="179" t="n"/>
      <c r="AA9" s="179" t="n"/>
      <c r="AB9" s="179" t="n"/>
      <c r="AC9" s="180">
        <f>SUM(W9:AB9)</f>
        <v/>
      </c>
      <c r="AD9" s="181">
        <f>IFERROR(AC9/V9,"")</f>
        <v/>
      </c>
      <c r="AE9" s="179" t="n"/>
      <c r="AF9" s="179" t="n"/>
      <c r="AG9" s="179" t="n"/>
      <c r="AH9" s="179" t="n"/>
      <c r="AI9" s="179" t="n"/>
      <c r="AJ9" s="179" t="n"/>
      <c r="AK9" s="180">
        <f>SUM(AF9:AJ9)</f>
        <v/>
      </c>
      <c r="AL9" s="181">
        <f>IFERROR(AK9/AE9,"")</f>
        <v/>
      </c>
      <c r="AM9" s="182">
        <f>N9+V9+AE9</f>
        <v/>
      </c>
      <c r="AN9" s="182">
        <f>T9+AC9+AK9</f>
        <v/>
      </c>
      <c r="AO9" s="183">
        <f>IFERROR(AN9/AM9,"")</f>
        <v/>
      </c>
      <c r="AP9" s="179" t="n"/>
      <c r="AQ9" s="179" t="n"/>
      <c r="AR9" s="179" t="n"/>
      <c r="AS9" s="179" t="n"/>
      <c r="AT9" s="179" t="n"/>
      <c r="AU9" s="179" t="n"/>
      <c r="AV9" s="180">
        <f>SUM(AQ9:AU9)</f>
        <v/>
      </c>
      <c r="AW9" s="181">
        <f>IFERROR(AV9/AP9,"")</f>
        <v/>
      </c>
      <c r="AX9" s="179" t="n"/>
      <c r="AY9" s="179" t="n"/>
      <c r="AZ9" s="179" t="n"/>
      <c r="BA9" s="179" t="n"/>
      <c r="BB9" s="179" t="n"/>
      <c r="BC9" s="179" t="n"/>
      <c r="BD9" s="179" t="n"/>
      <c r="BE9" s="180">
        <f>SUM(AY9:BD9)</f>
        <v/>
      </c>
      <c r="BF9" s="181">
        <f>IFERROR(BE9/AX9,"")</f>
        <v/>
      </c>
      <c r="BG9" s="179" t="n"/>
      <c r="BH9" s="179" t="n"/>
      <c r="BI9" s="179" t="n"/>
      <c r="BJ9" s="179" t="n"/>
      <c r="BK9" s="179" t="n"/>
      <c r="BL9" s="179" t="n"/>
      <c r="BM9" s="180">
        <f>SUM(BH9:BL9)</f>
        <v/>
      </c>
      <c r="BN9" s="181">
        <f>IFERROR(BM9/BG9,"")</f>
        <v/>
      </c>
      <c r="BO9" s="182">
        <f>AP9+AX9+BG9</f>
        <v/>
      </c>
      <c r="BP9" s="182">
        <f>AV9+BE9+BM9</f>
        <v/>
      </c>
      <c r="BQ9" s="183">
        <f>IFERROR(BP9/BO9,"")</f>
        <v/>
      </c>
      <c r="BR9" s="184">
        <f>N9+V9+AE9+AP9+AX9+BG9</f>
        <v/>
      </c>
      <c r="BS9" s="184">
        <f>T9+AC9+AK9+AV9+BE9+BM9</f>
        <v/>
      </c>
      <c r="BT9" s="185">
        <f>IFERROR(BS9/BR9,"")</f>
        <v/>
      </c>
    </row>
    <row r="10">
      <c r="A10" s="175" t="inlineStr">
        <is>
          <t>ВОРОНКА</t>
        </is>
      </c>
      <c r="B10" s="176" t="inlineStr">
        <is>
          <t>Lead gen</t>
        </is>
      </c>
      <c r="C10" s="177" t="inlineStr">
        <is>
          <t>Emails replies</t>
        </is>
      </c>
      <c r="D10" s="178" t="inlineStr">
        <is>
          <t>шт</t>
        </is>
      </c>
      <c r="E10" s="178" t="inlineStr">
        <is>
          <t>Σ</t>
        </is>
      </c>
      <c r="F10" s="179" t="n"/>
      <c r="G10" s="179" t="n"/>
      <c r="H10" s="179" t="n"/>
      <c r="I10" s="179" t="n"/>
      <c r="J10" s="179" t="n"/>
      <c r="K10" s="179" t="n"/>
      <c r="L10" s="180">
        <f>SUM(G10:K10)</f>
        <v/>
      </c>
      <c r="M10" s="181">
        <f>IFERROR(L10/F10,"")</f>
        <v/>
      </c>
      <c r="N10" s="179" t="n"/>
      <c r="O10" s="179" t="n"/>
      <c r="P10" s="179" t="n"/>
      <c r="Q10" s="179" t="n"/>
      <c r="R10" s="179" t="n"/>
      <c r="S10" s="179" t="n"/>
      <c r="T10" s="180">
        <f>SUM(O10:S10)</f>
        <v/>
      </c>
      <c r="U10" s="181">
        <f>IFERROR(T10/N10,"")</f>
        <v/>
      </c>
      <c r="V10" s="179" t="n"/>
      <c r="W10" s="179" t="n"/>
      <c r="X10" s="179" t="n"/>
      <c r="Y10" s="179" t="n"/>
      <c r="Z10" s="179" t="n"/>
      <c r="AA10" s="179" t="n"/>
      <c r="AB10" s="179" t="n"/>
      <c r="AC10" s="180">
        <f>SUM(W10:AB10)</f>
        <v/>
      </c>
      <c r="AD10" s="181">
        <f>IFERROR(AC10/V10,"")</f>
        <v/>
      </c>
      <c r="AE10" s="179" t="n"/>
      <c r="AF10" s="179" t="n"/>
      <c r="AG10" s="179" t="n"/>
      <c r="AH10" s="179" t="n"/>
      <c r="AI10" s="179" t="n"/>
      <c r="AJ10" s="179" t="n"/>
      <c r="AK10" s="180">
        <f>SUM(AF10:AJ10)</f>
        <v/>
      </c>
      <c r="AL10" s="181">
        <f>IFERROR(AK10/AE10,"")</f>
        <v/>
      </c>
      <c r="AM10" s="182">
        <f>N10+V10+AE10</f>
        <v/>
      </c>
      <c r="AN10" s="182">
        <f>T10+AC10+AK10</f>
        <v/>
      </c>
      <c r="AO10" s="183">
        <f>IFERROR(AN10/AM10,"")</f>
        <v/>
      </c>
      <c r="AP10" s="179" t="n"/>
      <c r="AQ10" s="179" t="n"/>
      <c r="AR10" s="179" t="n"/>
      <c r="AS10" s="179" t="n"/>
      <c r="AT10" s="179" t="n"/>
      <c r="AU10" s="179" t="n"/>
      <c r="AV10" s="180">
        <f>SUM(AQ10:AU10)</f>
        <v/>
      </c>
      <c r="AW10" s="181">
        <f>IFERROR(AV10/AP10,"")</f>
        <v/>
      </c>
      <c r="AX10" s="179" t="n"/>
      <c r="AY10" s="179" t="n"/>
      <c r="AZ10" s="179" t="n"/>
      <c r="BA10" s="179" t="n"/>
      <c r="BB10" s="179" t="n"/>
      <c r="BC10" s="179" t="n"/>
      <c r="BD10" s="179" t="n"/>
      <c r="BE10" s="180">
        <f>SUM(AY10:BD10)</f>
        <v/>
      </c>
      <c r="BF10" s="181">
        <f>IFERROR(BE10/AX10,"")</f>
        <v/>
      </c>
      <c r="BG10" s="179" t="n"/>
      <c r="BH10" s="179" t="n"/>
      <c r="BI10" s="179" t="n"/>
      <c r="BJ10" s="179" t="n"/>
      <c r="BK10" s="179" t="n"/>
      <c r="BL10" s="179" t="n"/>
      <c r="BM10" s="180">
        <f>SUM(BH10:BL10)</f>
        <v/>
      </c>
      <c r="BN10" s="181">
        <f>IFERROR(BM10/BG10,"")</f>
        <v/>
      </c>
      <c r="BO10" s="182">
        <f>AP10+AX10+BG10</f>
        <v/>
      </c>
      <c r="BP10" s="182">
        <f>AV10+BE10+BM10</f>
        <v/>
      </c>
      <c r="BQ10" s="183">
        <f>IFERROR(BP10/BO10,"")</f>
        <v/>
      </c>
      <c r="BR10" s="184">
        <f>N10+V10+AE10+AP10+AX10+BG10</f>
        <v/>
      </c>
      <c r="BS10" s="184">
        <f>T10+AC10+AK10+AV10+BE10+BM10</f>
        <v/>
      </c>
      <c r="BT10" s="185">
        <f>IFERROR(BS10/BR10,"")</f>
        <v/>
      </c>
    </row>
    <row r="11">
      <c r="A11" s="175" t="inlineStr">
        <is>
          <t>ВОРОНКА</t>
        </is>
      </c>
      <c r="B11" s="176" t="inlineStr">
        <is>
          <t>TL LeadGen</t>
        </is>
      </c>
      <c r="C11" s="177" t="inlineStr">
        <is>
          <t>Replies (усі)</t>
        </is>
      </c>
      <c r="D11" s="178" t="inlineStr">
        <is>
          <t>шт</t>
        </is>
      </c>
      <c r="E11" s="178" t="inlineStr">
        <is>
          <t>Σ</t>
        </is>
      </c>
      <c r="F11" s="179" t="n"/>
      <c r="G11" s="179" t="n"/>
      <c r="H11" s="179" t="n"/>
      <c r="I11" s="179" t="n"/>
      <c r="J11" s="179" t="n"/>
      <c r="K11" s="179" t="n"/>
      <c r="L11" s="180">
        <f>SUM(G11:K11)</f>
        <v/>
      </c>
      <c r="M11" s="181">
        <f>IFERROR(L11/F11,"")</f>
        <v/>
      </c>
      <c r="N11" s="179" t="n"/>
      <c r="O11" s="179" t="n"/>
      <c r="P11" s="179" t="n"/>
      <c r="Q11" s="179" t="n"/>
      <c r="R11" s="179" t="n"/>
      <c r="S11" s="179" t="n"/>
      <c r="T11" s="180">
        <f>SUM(O11:S11)</f>
        <v/>
      </c>
      <c r="U11" s="181">
        <f>IFERROR(T11/N11,"")</f>
        <v/>
      </c>
      <c r="V11" s="179" t="n"/>
      <c r="W11" s="179" t="n"/>
      <c r="X11" s="179" t="n"/>
      <c r="Y11" s="179" t="n"/>
      <c r="Z11" s="179" t="n"/>
      <c r="AA11" s="179" t="n"/>
      <c r="AB11" s="179" t="n"/>
      <c r="AC11" s="180">
        <f>SUM(W11:AB11)</f>
        <v/>
      </c>
      <c r="AD11" s="181">
        <f>IFERROR(AC11/V11,"")</f>
        <v/>
      </c>
      <c r="AE11" s="179" t="n"/>
      <c r="AF11" s="179" t="n"/>
      <c r="AG11" s="179" t="n"/>
      <c r="AH11" s="179" t="n"/>
      <c r="AI11" s="179" t="n"/>
      <c r="AJ11" s="179" t="n"/>
      <c r="AK11" s="180">
        <f>SUM(AF11:AJ11)</f>
        <v/>
      </c>
      <c r="AL11" s="181">
        <f>IFERROR(AK11/AE11,"")</f>
        <v/>
      </c>
      <c r="AM11" s="182">
        <f>N11+V11+AE11</f>
        <v/>
      </c>
      <c r="AN11" s="182">
        <f>T11+AC11+AK11</f>
        <v/>
      </c>
      <c r="AO11" s="183">
        <f>IFERROR(AN11/AM11,"")</f>
        <v/>
      </c>
      <c r="AP11" s="179" t="n"/>
      <c r="AQ11" s="179" t="n"/>
      <c r="AR11" s="179" t="n"/>
      <c r="AS11" s="179" t="n"/>
      <c r="AT11" s="179" t="n"/>
      <c r="AU11" s="179" t="n"/>
      <c r="AV11" s="180">
        <f>SUM(AQ11:AU11)</f>
        <v/>
      </c>
      <c r="AW11" s="181">
        <f>IFERROR(AV11/AP11,"")</f>
        <v/>
      </c>
      <c r="AX11" s="179" t="n"/>
      <c r="AY11" s="179" t="n"/>
      <c r="AZ11" s="179" t="n"/>
      <c r="BA11" s="179" t="n"/>
      <c r="BB11" s="179" t="n"/>
      <c r="BC11" s="179" t="n"/>
      <c r="BD11" s="179" t="n"/>
      <c r="BE11" s="180">
        <f>SUM(AY11:BD11)</f>
        <v/>
      </c>
      <c r="BF11" s="181">
        <f>IFERROR(BE11/AX11,"")</f>
        <v/>
      </c>
      <c r="BG11" s="179" t="n"/>
      <c r="BH11" s="179" t="n"/>
      <c r="BI11" s="179" t="n"/>
      <c r="BJ11" s="179" t="n"/>
      <c r="BK11" s="179" t="n"/>
      <c r="BL11" s="179" t="n"/>
      <c r="BM11" s="180">
        <f>SUM(BH11:BL11)</f>
        <v/>
      </c>
      <c r="BN11" s="181">
        <f>IFERROR(BM11/BG11,"")</f>
        <v/>
      </c>
      <c r="BO11" s="182">
        <f>AP11+AX11+BG11</f>
        <v/>
      </c>
      <c r="BP11" s="182">
        <f>AV11+BE11+BM11</f>
        <v/>
      </c>
      <c r="BQ11" s="183">
        <f>IFERROR(BP11/BO11,"")</f>
        <v/>
      </c>
      <c r="BR11" s="184">
        <f>N11+V11+AE11+AP11+AX11+BG11</f>
        <v/>
      </c>
      <c r="BS11" s="184">
        <f>T11+AC11+AK11+AV11+BE11+BM11</f>
        <v/>
      </c>
      <c r="BT11" s="185">
        <f>IFERROR(BS11/BR11,"")</f>
        <v/>
      </c>
    </row>
    <row r="12">
      <c r="A12" s="175" t="inlineStr">
        <is>
          <t>ВОРОНКА</t>
        </is>
      </c>
      <c r="B12" s="176" t="inlineStr">
        <is>
          <t>TL LeadGen</t>
        </is>
      </c>
      <c r="C12" s="186" t="inlineStr">
        <is>
          <t>★ SQL — HOT Interested</t>
        </is>
      </c>
      <c r="D12" s="178" t="inlineStr">
        <is>
          <t>шт</t>
        </is>
      </c>
      <c r="E12" s="178" t="inlineStr">
        <is>
          <t>Σ</t>
        </is>
      </c>
      <c r="F12" s="179" t="n"/>
      <c r="G12" s="179" t="n"/>
      <c r="H12" s="179" t="n"/>
      <c r="I12" s="179" t="n"/>
      <c r="J12" s="179" t="n"/>
      <c r="K12" s="179" t="n"/>
      <c r="L12" s="180">
        <f>SUM(G12:K12)</f>
        <v/>
      </c>
      <c r="M12" s="181">
        <f>IFERROR(L12/F12,"")</f>
        <v/>
      </c>
      <c r="N12" s="179" t="n"/>
      <c r="O12" s="179" t="n"/>
      <c r="P12" s="179" t="n"/>
      <c r="Q12" s="179" t="n"/>
      <c r="R12" s="179" t="n"/>
      <c r="S12" s="179" t="n"/>
      <c r="T12" s="180">
        <f>SUM(O12:S12)</f>
        <v/>
      </c>
      <c r="U12" s="181">
        <f>IFERROR(T12/N12,"")</f>
        <v/>
      </c>
      <c r="V12" s="179" t="n"/>
      <c r="W12" s="179" t="n"/>
      <c r="X12" s="179" t="n"/>
      <c r="Y12" s="179" t="n"/>
      <c r="Z12" s="179" t="n"/>
      <c r="AA12" s="179" t="n"/>
      <c r="AB12" s="179" t="n"/>
      <c r="AC12" s="180">
        <f>SUM(W12:AB12)</f>
        <v/>
      </c>
      <c r="AD12" s="181">
        <f>IFERROR(AC12/V12,"")</f>
        <v/>
      </c>
      <c r="AE12" s="179" t="n"/>
      <c r="AF12" s="179" t="n"/>
      <c r="AG12" s="179" t="n"/>
      <c r="AH12" s="179" t="n"/>
      <c r="AI12" s="179" t="n"/>
      <c r="AJ12" s="179" t="n"/>
      <c r="AK12" s="180">
        <f>SUM(AF12:AJ12)</f>
        <v/>
      </c>
      <c r="AL12" s="181">
        <f>IFERROR(AK12/AE12,"")</f>
        <v/>
      </c>
      <c r="AM12" s="182">
        <f>N12+V12+AE12</f>
        <v/>
      </c>
      <c r="AN12" s="182">
        <f>T12+AC12+AK12</f>
        <v/>
      </c>
      <c r="AO12" s="183">
        <f>IFERROR(AN12/AM12,"")</f>
        <v/>
      </c>
      <c r="AP12" s="179" t="n"/>
      <c r="AQ12" s="179" t="n"/>
      <c r="AR12" s="179" t="n"/>
      <c r="AS12" s="179" t="n"/>
      <c r="AT12" s="179" t="n"/>
      <c r="AU12" s="179" t="n"/>
      <c r="AV12" s="180">
        <f>SUM(AQ12:AU12)</f>
        <v/>
      </c>
      <c r="AW12" s="181">
        <f>IFERROR(AV12/AP12,"")</f>
        <v/>
      </c>
      <c r="AX12" s="179" t="n"/>
      <c r="AY12" s="179" t="n"/>
      <c r="AZ12" s="179" t="n"/>
      <c r="BA12" s="179" t="n"/>
      <c r="BB12" s="179" t="n"/>
      <c r="BC12" s="179" t="n"/>
      <c r="BD12" s="179" t="n"/>
      <c r="BE12" s="180">
        <f>SUM(AY12:BD12)</f>
        <v/>
      </c>
      <c r="BF12" s="181">
        <f>IFERROR(BE12/AX12,"")</f>
        <v/>
      </c>
      <c r="BG12" s="179" t="n"/>
      <c r="BH12" s="179" t="n"/>
      <c r="BI12" s="179" t="n"/>
      <c r="BJ12" s="179" t="n"/>
      <c r="BK12" s="179" t="n"/>
      <c r="BL12" s="179" t="n"/>
      <c r="BM12" s="180">
        <f>SUM(BH12:BL12)</f>
        <v/>
      </c>
      <c r="BN12" s="181">
        <f>IFERROR(BM12/BG12,"")</f>
        <v/>
      </c>
      <c r="BO12" s="182">
        <f>AP12+AX12+BG12</f>
        <v/>
      </c>
      <c r="BP12" s="182">
        <f>AV12+BE12+BM12</f>
        <v/>
      </c>
      <c r="BQ12" s="183">
        <f>IFERROR(BP12/BO12,"")</f>
        <v/>
      </c>
      <c r="BR12" s="184">
        <f>N12+V12+AE12+AP12+AX12+BG12</f>
        <v/>
      </c>
      <c r="BS12" s="184">
        <f>T12+AC12+AK12+AV12+BE12+BM12</f>
        <v/>
      </c>
      <c r="BT12" s="185">
        <f>IFERROR(BS12/BR12,"")</f>
        <v/>
      </c>
    </row>
    <row r="13">
      <c r="A13" s="175" t="inlineStr">
        <is>
          <t>ВОРОНКА</t>
        </is>
      </c>
      <c r="B13" s="176" t="inlineStr">
        <is>
          <t>Sales</t>
        </is>
      </c>
      <c r="C13" s="186" t="inlineStr">
        <is>
          <t>★ Presales (пресейли)</t>
        </is>
      </c>
      <c r="D13" s="178" t="inlineStr">
        <is>
          <t>шт</t>
        </is>
      </c>
      <c r="E13" s="178" t="inlineStr">
        <is>
          <t>Σ</t>
        </is>
      </c>
      <c r="F13" s="179" t="n"/>
      <c r="G13" s="179" t="n"/>
      <c r="H13" s="179" t="n"/>
      <c r="I13" s="179" t="n"/>
      <c r="J13" s="179" t="n"/>
      <c r="K13" s="179" t="n"/>
      <c r="L13" s="180">
        <f>SUM(G13:K13)</f>
        <v/>
      </c>
      <c r="M13" s="181">
        <f>IFERROR(L13/F13,"")</f>
        <v/>
      </c>
      <c r="N13" s="179" t="n"/>
      <c r="O13" s="179" t="n"/>
      <c r="P13" s="179" t="n"/>
      <c r="Q13" s="179" t="n"/>
      <c r="R13" s="179" t="n"/>
      <c r="S13" s="179" t="n"/>
      <c r="T13" s="180">
        <f>SUM(O13:S13)</f>
        <v/>
      </c>
      <c r="U13" s="181">
        <f>IFERROR(T13/N13,"")</f>
        <v/>
      </c>
      <c r="V13" s="179" t="n"/>
      <c r="W13" s="179" t="n"/>
      <c r="X13" s="179" t="n"/>
      <c r="Y13" s="179" t="n"/>
      <c r="Z13" s="179" t="n"/>
      <c r="AA13" s="179" t="n"/>
      <c r="AB13" s="179" t="n"/>
      <c r="AC13" s="180">
        <f>SUM(W13:AB13)</f>
        <v/>
      </c>
      <c r="AD13" s="181">
        <f>IFERROR(AC13/V13,"")</f>
        <v/>
      </c>
      <c r="AE13" s="179" t="n"/>
      <c r="AF13" s="179" t="n"/>
      <c r="AG13" s="179" t="n"/>
      <c r="AH13" s="179" t="n"/>
      <c r="AI13" s="179" t="n"/>
      <c r="AJ13" s="179" t="n"/>
      <c r="AK13" s="180">
        <f>SUM(AF13:AJ13)</f>
        <v/>
      </c>
      <c r="AL13" s="181">
        <f>IFERROR(AK13/AE13,"")</f>
        <v/>
      </c>
      <c r="AM13" s="182">
        <f>N13+V13+AE13</f>
        <v/>
      </c>
      <c r="AN13" s="182">
        <f>T13+AC13+AK13</f>
        <v/>
      </c>
      <c r="AO13" s="183">
        <f>IFERROR(AN13/AM13,"")</f>
        <v/>
      </c>
      <c r="AP13" s="179" t="n"/>
      <c r="AQ13" s="179" t="n"/>
      <c r="AR13" s="179" t="n"/>
      <c r="AS13" s="179" t="n"/>
      <c r="AT13" s="179" t="n"/>
      <c r="AU13" s="179" t="n"/>
      <c r="AV13" s="180">
        <f>SUM(AQ13:AU13)</f>
        <v/>
      </c>
      <c r="AW13" s="181">
        <f>IFERROR(AV13/AP13,"")</f>
        <v/>
      </c>
      <c r="AX13" s="179" t="n"/>
      <c r="AY13" s="179" t="n"/>
      <c r="AZ13" s="179" t="n"/>
      <c r="BA13" s="179" t="n"/>
      <c r="BB13" s="179" t="n"/>
      <c r="BC13" s="179" t="n"/>
      <c r="BD13" s="179" t="n"/>
      <c r="BE13" s="180">
        <f>SUM(AY13:BD13)</f>
        <v/>
      </c>
      <c r="BF13" s="181">
        <f>IFERROR(BE13/AX13,"")</f>
        <v/>
      </c>
      <c r="BG13" s="179" t="n"/>
      <c r="BH13" s="179" t="n"/>
      <c r="BI13" s="179" t="n"/>
      <c r="BJ13" s="179" t="n"/>
      <c r="BK13" s="179" t="n"/>
      <c r="BL13" s="179" t="n"/>
      <c r="BM13" s="180">
        <f>SUM(BH13:BL13)</f>
        <v/>
      </c>
      <c r="BN13" s="181">
        <f>IFERROR(BM13/BG13,"")</f>
        <v/>
      </c>
      <c r="BO13" s="182">
        <f>AP13+AX13+BG13</f>
        <v/>
      </c>
      <c r="BP13" s="182">
        <f>AV13+BE13+BM13</f>
        <v/>
      </c>
      <c r="BQ13" s="183">
        <f>IFERROR(BP13/BO13,"")</f>
        <v/>
      </c>
      <c r="BR13" s="184">
        <f>N13+V13+AE13+AP13+AX13+BG13</f>
        <v/>
      </c>
      <c r="BS13" s="184">
        <f>T13+AC13+AK13+AV13+BE13+BM13</f>
        <v/>
      </c>
      <c r="BT13" s="185">
        <f>IFERROR(BS13/BR13,"")</f>
        <v/>
      </c>
    </row>
    <row r="14">
      <c r="A14" s="173" t="inlineStr">
        <is>
          <t>▌ ПРОДАЖІ</t>
        </is>
      </c>
      <c r="B14" s="174" t="n"/>
      <c r="C14" s="174" t="n"/>
      <c r="D14" s="174" t="n"/>
      <c r="E14" s="174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174" t="n"/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74" t="n"/>
      <c r="Z14" s="174" t="n"/>
      <c r="AA14" s="174" t="n"/>
      <c r="AB14" s="174" t="n"/>
      <c r="AC14" s="174" t="n"/>
      <c r="AD14" s="174" t="n"/>
      <c r="AE14" s="174" t="n"/>
      <c r="AF14" s="174" t="n"/>
      <c r="AG14" s="174" t="n"/>
      <c r="AH14" s="174" t="n"/>
      <c r="AI14" s="174" t="n"/>
      <c r="AJ14" s="174" t="n"/>
      <c r="AK14" s="174" t="n"/>
      <c r="AL14" s="174" t="n"/>
      <c r="AM14" s="174" t="n"/>
      <c r="AN14" s="174" t="n"/>
      <c r="AO14" s="174" t="n"/>
      <c r="AP14" s="174" t="n"/>
      <c r="AQ14" s="174" t="n"/>
      <c r="AR14" s="174" t="n"/>
      <c r="AS14" s="174" t="n"/>
      <c r="AT14" s="174" t="n"/>
      <c r="AU14" s="174" t="n"/>
      <c r="AV14" s="174" t="n"/>
      <c r="AW14" s="174" t="n"/>
      <c r="AX14" s="174" t="n"/>
      <c r="AY14" s="174" t="n"/>
      <c r="AZ14" s="174" t="n"/>
      <c r="BA14" s="174" t="n"/>
      <c r="BB14" s="174" t="n"/>
      <c r="BC14" s="174" t="n"/>
      <c r="BD14" s="174" t="n"/>
      <c r="BE14" s="174" t="n"/>
      <c r="BF14" s="174" t="n"/>
      <c r="BG14" s="174" t="n"/>
      <c r="BH14" s="174" t="n"/>
      <c r="BI14" s="174" t="n"/>
      <c r="BJ14" s="174" t="n"/>
      <c r="BK14" s="174" t="n"/>
      <c r="BL14" s="174" t="n"/>
      <c r="BM14" s="174" t="n"/>
      <c r="BN14" s="174" t="n"/>
      <c r="BO14" s="174" t="n"/>
      <c r="BP14" s="174" t="n"/>
      <c r="BQ14" s="174" t="n"/>
      <c r="BR14" s="174" t="n"/>
      <c r="BS14" s="174" t="n"/>
      <c r="BT14" s="174" t="n"/>
    </row>
    <row r="15">
      <c r="A15" s="175" t="inlineStr">
        <is>
          <t>ПРОДАЖІ</t>
        </is>
      </c>
      <c r="B15" s="176" t="inlineStr">
        <is>
          <t>Sales</t>
        </is>
      </c>
      <c r="C15" s="177" t="inlineStr">
        <is>
          <t>ТЗ отримано</t>
        </is>
      </c>
      <c r="D15" s="178" t="inlineStr">
        <is>
          <t>шт</t>
        </is>
      </c>
      <c r="E15" s="178" t="inlineStr">
        <is>
          <t>Σ</t>
        </is>
      </c>
      <c r="F15" s="179" t="n"/>
      <c r="G15" s="179" t="n"/>
      <c r="H15" s="179" t="n"/>
      <c r="I15" s="179" t="n"/>
      <c r="J15" s="179" t="n"/>
      <c r="K15" s="179" t="n"/>
      <c r="L15" s="180">
        <f>SUM(G15:K15)</f>
        <v/>
      </c>
      <c r="M15" s="181">
        <f>IFERROR(L15/F15,"")</f>
        <v/>
      </c>
      <c r="N15" s="179" t="n"/>
      <c r="O15" s="179" t="n"/>
      <c r="P15" s="179" t="n"/>
      <c r="Q15" s="179" t="n"/>
      <c r="R15" s="179" t="n"/>
      <c r="S15" s="179" t="n"/>
      <c r="T15" s="180">
        <f>SUM(O15:S15)</f>
        <v/>
      </c>
      <c r="U15" s="181">
        <f>IFERROR(T15/N15,"")</f>
        <v/>
      </c>
      <c r="V15" s="179" t="n"/>
      <c r="W15" s="179" t="n"/>
      <c r="X15" s="179" t="n"/>
      <c r="Y15" s="179" t="n"/>
      <c r="Z15" s="179" t="n"/>
      <c r="AA15" s="179" t="n"/>
      <c r="AB15" s="179" t="n"/>
      <c r="AC15" s="180">
        <f>SUM(W15:AB15)</f>
        <v/>
      </c>
      <c r="AD15" s="181">
        <f>IFERROR(AC15/V15,"")</f>
        <v/>
      </c>
      <c r="AE15" s="179" t="n"/>
      <c r="AF15" s="179" t="n"/>
      <c r="AG15" s="179" t="n"/>
      <c r="AH15" s="179" t="n"/>
      <c r="AI15" s="179" t="n"/>
      <c r="AJ15" s="179" t="n"/>
      <c r="AK15" s="180">
        <f>SUM(AF15:AJ15)</f>
        <v/>
      </c>
      <c r="AL15" s="181">
        <f>IFERROR(AK15/AE15,"")</f>
        <v/>
      </c>
      <c r="AM15" s="182">
        <f>N15+V15+AE15</f>
        <v/>
      </c>
      <c r="AN15" s="182">
        <f>T15+AC15+AK15</f>
        <v/>
      </c>
      <c r="AO15" s="183">
        <f>IFERROR(AN15/AM15,"")</f>
        <v/>
      </c>
      <c r="AP15" s="179" t="n"/>
      <c r="AQ15" s="179" t="n"/>
      <c r="AR15" s="179" t="n"/>
      <c r="AS15" s="179" t="n"/>
      <c r="AT15" s="179" t="n"/>
      <c r="AU15" s="179" t="n"/>
      <c r="AV15" s="180">
        <f>SUM(AQ15:AU15)</f>
        <v/>
      </c>
      <c r="AW15" s="181">
        <f>IFERROR(AV15/AP15,"")</f>
        <v/>
      </c>
      <c r="AX15" s="179" t="n"/>
      <c r="AY15" s="179" t="n"/>
      <c r="AZ15" s="179" t="n"/>
      <c r="BA15" s="179" t="n"/>
      <c r="BB15" s="179" t="n"/>
      <c r="BC15" s="179" t="n"/>
      <c r="BD15" s="179" t="n"/>
      <c r="BE15" s="180">
        <f>SUM(AY15:BD15)</f>
        <v/>
      </c>
      <c r="BF15" s="181">
        <f>IFERROR(BE15/AX15,"")</f>
        <v/>
      </c>
      <c r="BG15" s="179" t="n"/>
      <c r="BH15" s="179" t="n"/>
      <c r="BI15" s="179" t="n"/>
      <c r="BJ15" s="179" t="n"/>
      <c r="BK15" s="179" t="n"/>
      <c r="BL15" s="179" t="n"/>
      <c r="BM15" s="180">
        <f>SUM(BH15:BL15)</f>
        <v/>
      </c>
      <c r="BN15" s="181">
        <f>IFERROR(BM15/BG15,"")</f>
        <v/>
      </c>
      <c r="BO15" s="182">
        <f>AP15+AX15+BG15</f>
        <v/>
      </c>
      <c r="BP15" s="182">
        <f>AV15+BE15+BM15</f>
        <v/>
      </c>
      <c r="BQ15" s="183">
        <f>IFERROR(BP15/BO15,"")</f>
        <v/>
      </c>
      <c r="BR15" s="184">
        <f>N15+V15+AE15+AP15+AX15+BG15</f>
        <v/>
      </c>
      <c r="BS15" s="184">
        <f>T15+AC15+AK15+AV15+BE15+BM15</f>
        <v/>
      </c>
      <c r="BT15" s="185">
        <f>IFERROR(BS15/BR15,"")</f>
        <v/>
      </c>
    </row>
    <row r="16">
      <c r="A16" s="175" t="inlineStr">
        <is>
          <t>ПРОДАЖІ</t>
        </is>
      </c>
      <c r="B16" s="176" t="inlineStr">
        <is>
          <t>Sales</t>
        </is>
      </c>
      <c r="C16" s="177" t="inlineStr">
        <is>
          <t>Пропозицій відправлено</t>
        </is>
      </c>
      <c r="D16" s="178" t="inlineStr">
        <is>
          <t>шт</t>
        </is>
      </c>
      <c r="E16" s="178" t="inlineStr">
        <is>
          <t>Σ</t>
        </is>
      </c>
      <c r="F16" s="179" t="n"/>
      <c r="G16" s="179" t="n"/>
      <c r="H16" s="179" t="n"/>
      <c r="I16" s="179" t="n"/>
      <c r="J16" s="179" t="n"/>
      <c r="K16" s="179" t="n"/>
      <c r="L16" s="180">
        <f>SUM(G16:K16)</f>
        <v/>
      </c>
      <c r="M16" s="181">
        <f>IFERROR(L16/F16,"")</f>
        <v/>
      </c>
      <c r="N16" s="179" t="n"/>
      <c r="O16" s="179" t="n"/>
      <c r="P16" s="179" t="n"/>
      <c r="Q16" s="179" t="n"/>
      <c r="R16" s="179" t="n"/>
      <c r="S16" s="179" t="n"/>
      <c r="T16" s="180">
        <f>SUM(O16:S16)</f>
        <v/>
      </c>
      <c r="U16" s="181">
        <f>IFERROR(T16/N16,"")</f>
        <v/>
      </c>
      <c r="V16" s="179" t="n"/>
      <c r="W16" s="179" t="n"/>
      <c r="X16" s="179" t="n"/>
      <c r="Y16" s="179" t="n"/>
      <c r="Z16" s="179" t="n"/>
      <c r="AA16" s="179" t="n"/>
      <c r="AB16" s="179" t="n"/>
      <c r="AC16" s="180">
        <f>SUM(W16:AB16)</f>
        <v/>
      </c>
      <c r="AD16" s="181">
        <f>IFERROR(AC16/V16,"")</f>
        <v/>
      </c>
      <c r="AE16" s="179" t="n"/>
      <c r="AF16" s="179" t="n"/>
      <c r="AG16" s="179" t="n"/>
      <c r="AH16" s="179" t="n"/>
      <c r="AI16" s="179" t="n"/>
      <c r="AJ16" s="179" t="n"/>
      <c r="AK16" s="180">
        <f>SUM(AF16:AJ16)</f>
        <v/>
      </c>
      <c r="AL16" s="181">
        <f>IFERROR(AK16/AE16,"")</f>
        <v/>
      </c>
      <c r="AM16" s="182">
        <f>N16+V16+AE16</f>
        <v/>
      </c>
      <c r="AN16" s="182">
        <f>T16+AC16+AK16</f>
        <v/>
      </c>
      <c r="AO16" s="183">
        <f>IFERROR(AN16/AM16,"")</f>
        <v/>
      </c>
      <c r="AP16" s="179" t="n"/>
      <c r="AQ16" s="179" t="n"/>
      <c r="AR16" s="179" t="n"/>
      <c r="AS16" s="179" t="n"/>
      <c r="AT16" s="179" t="n"/>
      <c r="AU16" s="179" t="n"/>
      <c r="AV16" s="180">
        <f>SUM(AQ16:AU16)</f>
        <v/>
      </c>
      <c r="AW16" s="181">
        <f>IFERROR(AV16/AP16,"")</f>
        <v/>
      </c>
      <c r="AX16" s="179" t="n"/>
      <c r="AY16" s="179" t="n"/>
      <c r="AZ16" s="179" t="n"/>
      <c r="BA16" s="179" t="n"/>
      <c r="BB16" s="179" t="n"/>
      <c r="BC16" s="179" t="n"/>
      <c r="BD16" s="179" t="n"/>
      <c r="BE16" s="180">
        <f>SUM(AY16:BD16)</f>
        <v/>
      </c>
      <c r="BF16" s="181">
        <f>IFERROR(BE16/AX16,"")</f>
        <v/>
      </c>
      <c r="BG16" s="179" t="n"/>
      <c r="BH16" s="179" t="n"/>
      <c r="BI16" s="179" t="n"/>
      <c r="BJ16" s="179" t="n"/>
      <c r="BK16" s="179" t="n"/>
      <c r="BL16" s="179" t="n"/>
      <c r="BM16" s="180">
        <f>SUM(BH16:BL16)</f>
        <v/>
      </c>
      <c r="BN16" s="181">
        <f>IFERROR(BM16/BG16,"")</f>
        <v/>
      </c>
      <c r="BO16" s="182">
        <f>AP16+AX16+BG16</f>
        <v/>
      </c>
      <c r="BP16" s="182">
        <f>AV16+BE16+BM16</f>
        <v/>
      </c>
      <c r="BQ16" s="183">
        <f>IFERROR(BP16/BO16,"")</f>
        <v/>
      </c>
      <c r="BR16" s="184">
        <f>N16+V16+AE16+AP16+AX16+BG16</f>
        <v/>
      </c>
      <c r="BS16" s="184">
        <f>T16+AC16+AK16+AV16+BE16+BM16</f>
        <v/>
      </c>
      <c r="BT16" s="185">
        <f>IFERROR(BS16/BR16,"")</f>
        <v/>
      </c>
    </row>
    <row r="17">
      <c r="A17" s="175" t="inlineStr">
        <is>
          <t>ПРОДАЖІ</t>
        </is>
      </c>
      <c r="B17" s="176" t="inlineStr">
        <is>
          <t>Sales</t>
        </is>
      </c>
      <c r="C17" s="186" t="inlineStr">
        <is>
          <t>★ Revenue closed</t>
        </is>
      </c>
      <c r="D17" s="178" t="inlineStr">
        <is>
          <t>$</t>
        </is>
      </c>
      <c r="E17" s="178" t="inlineStr">
        <is>
          <t>Σ</t>
        </is>
      </c>
      <c r="F17" s="187" t="n"/>
      <c r="G17" s="187" t="n"/>
      <c r="H17" s="187" t="n"/>
      <c r="I17" s="187" t="n"/>
      <c r="J17" s="187" t="n"/>
      <c r="K17" s="187" t="n"/>
      <c r="L17" s="188">
        <f>SUM(G17:K17)</f>
        <v/>
      </c>
      <c r="M17" s="181">
        <f>IFERROR(L17/F17,"")</f>
        <v/>
      </c>
      <c r="N17" s="187" t="n"/>
      <c r="O17" s="187" t="n"/>
      <c r="P17" s="187" t="n"/>
      <c r="Q17" s="187" t="n"/>
      <c r="R17" s="187" t="n"/>
      <c r="S17" s="187" t="n"/>
      <c r="T17" s="188">
        <f>SUM(O17:S17)</f>
        <v/>
      </c>
      <c r="U17" s="181">
        <f>IFERROR(T17/N17,"")</f>
        <v/>
      </c>
      <c r="V17" s="187" t="n"/>
      <c r="W17" s="187" t="n"/>
      <c r="X17" s="187" t="n"/>
      <c r="Y17" s="187" t="n"/>
      <c r="Z17" s="187" t="n"/>
      <c r="AA17" s="187" t="n"/>
      <c r="AB17" s="187" t="n"/>
      <c r="AC17" s="188">
        <f>SUM(W17:AB17)</f>
        <v/>
      </c>
      <c r="AD17" s="181">
        <f>IFERROR(AC17/V17,"")</f>
        <v/>
      </c>
      <c r="AE17" s="187" t="n"/>
      <c r="AF17" s="187" t="n"/>
      <c r="AG17" s="187" t="n"/>
      <c r="AH17" s="187" t="n"/>
      <c r="AI17" s="187" t="n"/>
      <c r="AJ17" s="187" t="n"/>
      <c r="AK17" s="188">
        <f>SUM(AF17:AJ17)</f>
        <v/>
      </c>
      <c r="AL17" s="181">
        <f>IFERROR(AK17/AE17,"")</f>
        <v/>
      </c>
      <c r="AM17" s="189">
        <f>N17+V17+AE17</f>
        <v/>
      </c>
      <c r="AN17" s="189">
        <f>T17+AC17+AK17</f>
        <v/>
      </c>
      <c r="AO17" s="183">
        <f>IFERROR(AN17/AM17,"")</f>
        <v/>
      </c>
      <c r="AP17" s="187" t="n"/>
      <c r="AQ17" s="187" t="n"/>
      <c r="AR17" s="187" t="n"/>
      <c r="AS17" s="187" t="n"/>
      <c r="AT17" s="187" t="n"/>
      <c r="AU17" s="187" t="n"/>
      <c r="AV17" s="188">
        <f>SUM(AQ17:AU17)</f>
        <v/>
      </c>
      <c r="AW17" s="181">
        <f>IFERROR(AV17/AP17,"")</f>
        <v/>
      </c>
      <c r="AX17" s="187" t="n"/>
      <c r="AY17" s="187" t="n"/>
      <c r="AZ17" s="187" t="n"/>
      <c r="BA17" s="187" t="n"/>
      <c r="BB17" s="187" t="n"/>
      <c r="BC17" s="187" t="n"/>
      <c r="BD17" s="187" t="n"/>
      <c r="BE17" s="188">
        <f>SUM(AY17:BD17)</f>
        <v/>
      </c>
      <c r="BF17" s="181">
        <f>IFERROR(BE17/AX17,"")</f>
        <v/>
      </c>
      <c r="BG17" s="187" t="n"/>
      <c r="BH17" s="187" t="n"/>
      <c r="BI17" s="187" t="n"/>
      <c r="BJ17" s="187" t="n"/>
      <c r="BK17" s="187" t="n"/>
      <c r="BL17" s="187" t="n"/>
      <c r="BM17" s="188">
        <f>SUM(BH17:BL17)</f>
        <v/>
      </c>
      <c r="BN17" s="181">
        <f>IFERROR(BM17/BG17,"")</f>
        <v/>
      </c>
      <c r="BO17" s="189">
        <f>AP17+AX17+BG17</f>
        <v/>
      </c>
      <c r="BP17" s="189">
        <f>AV17+BE17+BM17</f>
        <v/>
      </c>
      <c r="BQ17" s="183">
        <f>IFERROR(BP17/BO17,"")</f>
        <v/>
      </c>
      <c r="BR17" s="190">
        <f>N17+V17+AE17+AP17+AX17+BG17</f>
        <v/>
      </c>
      <c r="BS17" s="190">
        <f>T17+AC17+AK17+AV17+BE17+BM17</f>
        <v/>
      </c>
      <c r="BT17" s="185">
        <f>IFERROR(BS17/BR17,"")</f>
        <v/>
      </c>
    </row>
    <row r="18">
      <c r="A18" s="175" t="inlineStr">
        <is>
          <t>ПРОДАЖІ</t>
        </is>
      </c>
      <c r="B18" s="176" t="inlineStr">
        <is>
          <t>Sales</t>
        </is>
      </c>
      <c r="C18" s="177" t="inlineStr">
        <is>
          <t>Договорів підписано</t>
        </is>
      </c>
      <c r="D18" s="178" t="inlineStr">
        <is>
          <t>шт</t>
        </is>
      </c>
      <c r="E18" s="178" t="inlineStr">
        <is>
          <t>Σ</t>
        </is>
      </c>
      <c r="F18" s="179" t="n"/>
      <c r="G18" s="179" t="n"/>
      <c r="H18" s="179" t="n"/>
      <c r="I18" s="179" t="n"/>
      <c r="J18" s="179" t="n"/>
      <c r="K18" s="179" t="n"/>
      <c r="L18" s="180">
        <f>SUM(G18:K18)</f>
        <v/>
      </c>
      <c r="M18" s="181">
        <f>IFERROR(L18/F18,"")</f>
        <v/>
      </c>
      <c r="N18" s="179" t="n"/>
      <c r="O18" s="179" t="n"/>
      <c r="P18" s="179" t="n"/>
      <c r="Q18" s="179" t="n"/>
      <c r="R18" s="179" t="n"/>
      <c r="S18" s="179" t="n"/>
      <c r="T18" s="180">
        <f>SUM(O18:S18)</f>
        <v/>
      </c>
      <c r="U18" s="181">
        <f>IFERROR(T18/N18,"")</f>
        <v/>
      </c>
      <c r="V18" s="179" t="n"/>
      <c r="W18" s="179" t="n"/>
      <c r="X18" s="179" t="n"/>
      <c r="Y18" s="179" t="n"/>
      <c r="Z18" s="179" t="n"/>
      <c r="AA18" s="179" t="n"/>
      <c r="AB18" s="179" t="n"/>
      <c r="AC18" s="180">
        <f>SUM(W18:AB18)</f>
        <v/>
      </c>
      <c r="AD18" s="181">
        <f>IFERROR(AC18/V18,"")</f>
        <v/>
      </c>
      <c r="AE18" s="179" t="n"/>
      <c r="AF18" s="179" t="n"/>
      <c r="AG18" s="179" t="n"/>
      <c r="AH18" s="179" t="n"/>
      <c r="AI18" s="179" t="n"/>
      <c r="AJ18" s="179" t="n"/>
      <c r="AK18" s="180">
        <f>SUM(AF18:AJ18)</f>
        <v/>
      </c>
      <c r="AL18" s="181">
        <f>IFERROR(AK18/AE18,"")</f>
        <v/>
      </c>
      <c r="AM18" s="182">
        <f>N18+V18+AE18</f>
        <v/>
      </c>
      <c r="AN18" s="182">
        <f>T18+AC18+AK18</f>
        <v/>
      </c>
      <c r="AO18" s="183">
        <f>IFERROR(AN18/AM18,"")</f>
        <v/>
      </c>
      <c r="AP18" s="179" t="n"/>
      <c r="AQ18" s="179" t="n"/>
      <c r="AR18" s="179" t="n"/>
      <c r="AS18" s="179" t="n"/>
      <c r="AT18" s="179" t="n"/>
      <c r="AU18" s="179" t="n"/>
      <c r="AV18" s="180">
        <f>SUM(AQ18:AU18)</f>
        <v/>
      </c>
      <c r="AW18" s="181">
        <f>IFERROR(AV18/AP18,"")</f>
        <v/>
      </c>
      <c r="AX18" s="179" t="n"/>
      <c r="AY18" s="179" t="n"/>
      <c r="AZ18" s="179" t="n"/>
      <c r="BA18" s="179" t="n"/>
      <c r="BB18" s="179" t="n"/>
      <c r="BC18" s="179" t="n"/>
      <c r="BD18" s="179" t="n"/>
      <c r="BE18" s="180">
        <f>SUM(AY18:BD18)</f>
        <v/>
      </c>
      <c r="BF18" s="181">
        <f>IFERROR(BE18/AX18,"")</f>
        <v/>
      </c>
      <c r="BG18" s="179" t="n"/>
      <c r="BH18" s="179" t="n"/>
      <c r="BI18" s="179" t="n"/>
      <c r="BJ18" s="179" t="n"/>
      <c r="BK18" s="179" t="n"/>
      <c r="BL18" s="179" t="n"/>
      <c r="BM18" s="180">
        <f>SUM(BH18:BL18)</f>
        <v/>
      </c>
      <c r="BN18" s="181">
        <f>IFERROR(BM18/BG18,"")</f>
        <v/>
      </c>
      <c r="BO18" s="182">
        <f>AP18+AX18+BG18</f>
        <v/>
      </c>
      <c r="BP18" s="182">
        <f>AV18+BE18+BM18</f>
        <v/>
      </c>
      <c r="BQ18" s="183">
        <f>IFERROR(BP18/BO18,"")</f>
        <v/>
      </c>
      <c r="BR18" s="184">
        <f>N18+V18+AE18+AP18+AX18+BG18</f>
        <v/>
      </c>
      <c r="BS18" s="184">
        <f>T18+AC18+AK18+AV18+BE18+BM18</f>
        <v/>
      </c>
      <c r="BT18" s="185">
        <f>IFERROR(BS18/BR18,"")</f>
        <v/>
      </c>
    </row>
    <row r="19">
      <c r="A19" s="175" t="inlineStr">
        <is>
          <t>ПРОДАЖІ</t>
        </is>
      </c>
      <c r="B19" s="176" t="inlineStr">
        <is>
          <t>Sales</t>
        </is>
      </c>
      <c r="C19" s="186" t="inlineStr">
        <is>
          <t>★ Win rate</t>
        </is>
      </c>
      <c r="D19" s="178" t="inlineStr">
        <is>
          <t>%</t>
        </is>
      </c>
      <c r="E19" s="178" t="inlineStr">
        <is>
          <t>avg</t>
        </is>
      </c>
      <c r="F19" s="191" t="n">
        <v>0.2</v>
      </c>
      <c r="G19" s="192" t="n"/>
      <c r="H19" s="192" t="n"/>
      <c r="I19" s="192" t="n"/>
      <c r="J19" s="192" t="n"/>
      <c r="K19" s="192" t="n"/>
      <c r="L19" s="191" t="n"/>
      <c r="M19" s="181">
        <f>IFERROR(L19/F19,"")</f>
        <v/>
      </c>
      <c r="N19" s="191" t="n">
        <v>0.2</v>
      </c>
      <c r="O19" s="192" t="n"/>
      <c r="P19" s="192" t="n"/>
      <c r="Q19" s="192" t="n"/>
      <c r="R19" s="192" t="n"/>
      <c r="S19" s="192" t="n"/>
      <c r="T19" s="191" t="n"/>
      <c r="U19" s="181">
        <f>IFERROR(T19/N19,"")</f>
        <v/>
      </c>
      <c r="V19" s="191" t="n">
        <v>0.2</v>
      </c>
      <c r="W19" s="192" t="n"/>
      <c r="X19" s="192" t="n"/>
      <c r="Y19" s="192" t="n"/>
      <c r="Z19" s="192" t="n"/>
      <c r="AA19" s="192" t="n"/>
      <c r="AB19" s="192" t="n"/>
      <c r="AC19" s="191" t="n"/>
      <c r="AD19" s="181">
        <f>IFERROR(AC19/V19,"")</f>
        <v/>
      </c>
      <c r="AE19" s="191" t="n">
        <v>0.2</v>
      </c>
      <c r="AF19" s="192" t="n"/>
      <c r="AG19" s="192" t="n"/>
      <c r="AH19" s="192" t="n"/>
      <c r="AI19" s="192" t="n"/>
      <c r="AJ19" s="192" t="n"/>
      <c r="AK19" s="191" t="n"/>
      <c r="AL19" s="181">
        <f>IFERROR(AK19/AE19,"")</f>
        <v/>
      </c>
      <c r="AM19" s="183">
        <f>IFERROR(AVERAGE(N19,V19,AE19),"")</f>
        <v/>
      </c>
      <c r="AN19" s="183">
        <f>IFERROR(AVERAGE(T19,AC19,AK19),"")</f>
        <v/>
      </c>
      <c r="AO19" s="183">
        <f>IFERROR(AN19/AM19,"")</f>
        <v/>
      </c>
      <c r="AP19" s="191" t="n">
        <v>0.2</v>
      </c>
      <c r="AQ19" s="192" t="n"/>
      <c r="AR19" s="192" t="n"/>
      <c r="AS19" s="192" t="n"/>
      <c r="AT19" s="192" t="n"/>
      <c r="AU19" s="192" t="n"/>
      <c r="AV19" s="191" t="n"/>
      <c r="AW19" s="181">
        <f>IFERROR(AV19/AP19,"")</f>
        <v/>
      </c>
      <c r="AX19" s="191" t="n">
        <v>0.2</v>
      </c>
      <c r="AY19" s="192" t="n"/>
      <c r="AZ19" s="192" t="n"/>
      <c r="BA19" s="192" t="n"/>
      <c r="BB19" s="192" t="n"/>
      <c r="BC19" s="192" t="n"/>
      <c r="BD19" s="192" t="n"/>
      <c r="BE19" s="191" t="n"/>
      <c r="BF19" s="181">
        <f>IFERROR(BE19/AX19,"")</f>
        <v/>
      </c>
      <c r="BG19" s="191" t="n">
        <v>0.2</v>
      </c>
      <c r="BH19" s="192" t="n"/>
      <c r="BI19" s="192" t="n"/>
      <c r="BJ19" s="192" t="n"/>
      <c r="BK19" s="192" t="n"/>
      <c r="BL19" s="192" t="n"/>
      <c r="BM19" s="191" t="n"/>
      <c r="BN19" s="181">
        <f>IFERROR(BM19/BG19,"")</f>
        <v/>
      </c>
      <c r="BO19" s="183">
        <f>IFERROR(AVERAGE(AP19,AX19,BG19),"")</f>
        <v/>
      </c>
      <c r="BP19" s="183">
        <f>IFERROR(AVERAGE(AV19,BE19,BM19),"")</f>
        <v/>
      </c>
      <c r="BQ19" s="183">
        <f>IFERROR(BP19/BO19,"")</f>
        <v/>
      </c>
      <c r="BR19" s="185">
        <f>IFERROR(AVERAGE(N19,V19,AE19,AP19,AX19,BG19),"")</f>
        <v/>
      </c>
      <c r="BS19" s="185">
        <f>IFERROR(AVERAGE(T19,AC19,AK19,AV19,BE19,BM19),"")</f>
        <v/>
      </c>
      <c r="BT19" s="185">
        <f>IFERROR(BS19/BR19,"")</f>
        <v/>
      </c>
    </row>
    <row r="20">
      <c r="A20" s="175" t="inlineStr">
        <is>
          <t>ПРОДАЖІ</t>
        </is>
      </c>
      <c r="B20" s="176" t="inlineStr">
        <is>
          <t>Sales</t>
        </is>
      </c>
      <c r="C20" s="177" t="inlineStr">
        <is>
          <t>CRM актуальна</t>
        </is>
      </c>
      <c r="D20" s="178" t="inlineStr">
        <is>
          <t>%</t>
        </is>
      </c>
      <c r="E20" s="178" t="inlineStr">
        <is>
          <t>avg</t>
        </is>
      </c>
      <c r="F20" s="191" t="n">
        <v>1</v>
      </c>
      <c r="G20" s="191" t="n"/>
      <c r="H20" s="191" t="n"/>
      <c r="I20" s="191" t="n"/>
      <c r="J20" s="191" t="n"/>
      <c r="K20" s="191" t="n"/>
      <c r="L20" s="193">
        <f>IFERROR(AVERAGE(G20:K20),"")</f>
        <v/>
      </c>
      <c r="M20" s="181">
        <f>IFERROR(L20/F20,"")</f>
        <v/>
      </c>
      <c r="N20" s="191" t="n">
        <v>1</v>
      </c>
      <c r="O20" s="191" t="n"/>
      <c r="P20" s="191" t="n"/>
      <c r="Q20" s="191" t="n"/>
      <c r="R20" s="191" t="n"/>
      <c r="S20" s="191" t="n"/>
      <c r="T20" s="193">
        <f>IFERROR(AVERAGE(O20:S20),"")</f>
        <v/>
      </c>
      <c r="U20" s="181">
        <f>IFERROR(T20/N20,"")</f>
        <v/>
      </c>
      <c r="V20" s="191" t="n">
        <v>1</v>
      </c>
      <c r="W20" s="191" t="n"/>
      <c r="X20" s="191" t="n"/>
      <c r="Y20" s="191" t="n"/>
      <c r="Z20" s="191" t="n"/>
      <c r="AA20" s="191" t="n"/>
      <c r="AB20" s="191" t="n"/>
      <c r="AC20" s="193">
        <f>IFERROR(AVERAGE(W20:AB20),"")</f>
        <v/>
      </c>
      <c r="AD20" s="181">
        <f>IFERROR(AC20/V20,"")</f>
        <v/>
      </c>
      <c r="AE20" s="191" t="n">
        <v>1</v>
      </c>
      <c r="AF20" s="191" t="n"/>
      <c r="AG20" s="191" t="n"/>
      <c r="AH20" s="191" t="n"/>
      <c r="AI20" s="191" t="n"/>
      <c r="AJ20" s="191" t="n"/>
      <c r="AK20" s="193">
        <f>IFERROR(AVERAGE(AF20:AJ20),"")</f>
        <v/>
      </c>
      <c r="AL20" s="181">
        <f>IFERROR(AK20/AE20,"")</f>
        <v/>
      </c>
      <c r="AM20" s="183">
        <f>IFERROR(AVERAGE(N20,V20,AE20),"")</f>
        <v/>
      </c>
      <c r="AN20" s="183">
        <f>IFERROR(AVERAGE(T20,AC20,AK20),"")</f>
        <v/>
      </c>
      <c r="AO20" s="183">
        <f>IFERROR(AN20/AM20,"")</f>
        <v/>
      </c>
      <c r="AP20" s="191" t="n">
        <v>1</v>
      </c>
      <c r="AQ20" s="191" t="n"/>
      <c r="AR20" s="191" t="n"/>
      <c r="AS20" s="191" t="n"/>
      <c r="AT20" s="191" t="n"/>
      <c r="AU20" s="191" t="n"/>
      <c r="AV20" s="193">
        <f>IFERROR(AVERAGE(AQ20:AU20),"")</f>
        <v/>
      </c>
      <c r="AW20" s="181">
        <f>IFERROR(AV20/AP20,"")</f>
        <v/>
      </c>
      <c r="AX20" s="191" t="n">
        <v>1</v>
      </c>
      <c r="AY20" s="191" t="n"/>
      <c r="AZ20" s="191" t="n"/>
      <c r="BA20" s="191" t="n"/>
      <c r="BB20" s="191" t="n"/>
      <c r="BC20" s="191" t="n"/>
      <c r="BD20" s="191" t="n"/>
      <c r="BE20" s="193">
        <f>IFERROR(AVERAGE(AY20:BD20),"")</f>
        <v/>
      </c>
      <c r="BF20" s="181">
        <f>IFERROR(BE20/AX20,"")</f>
        <v/>
      </c>
      <c r="BG20" s="191" t="n">
        <v>1</v>
      </c>
      <c r="BH20" s="191" t="n"/>
      <c r="BI20" s="191" t="n"/>
      <c r="BJ20" s="191" t="n"/>
      <c r="BK20" s="191" t="n"/>
      <c r="BL20" s="191" t="n"/>
      <c r="BM20" s="193">
        <f>IFERROR(AVERAGE(BH20:BL20),"")</f>
        <v/>
      </c>
      <c r="BN20" s="181">
        <f>IFERROR(BM20/BG20,"")</f>
        <v/>
      </c>
      <c r="BO20" s="183">
        <f>IFERROR(AVERAGE(AP20,AX20,BG20),"")</f>
        <v/>
      </c>
      <c r="BP20" s="183">
        <f>IFERROR(AVERAGE(AV20,BE20,BM20),"")</f>
        <v/>
      </c>
      <c r="BQ20" s="183">
        <f>IFERROR(BP20/BO20,"")</f>
        <v/>
      </c>
      <c r="BR20" s="185">
        <f>IFERROR(AVERAGE(N20,V20,AE20,AP20,AX20,BG20),"")</f>
        <v/>
      </c>
      <c r="BS20" s="185">
        <f>IFERROR(AVERAGE(T20,AC20,AK20,AV20,BE20,BM20),"")</f>
        <v/>
      </c>
      <c r="BT20" s="185">
        <f>IFERROR(BS20/BR20,"")</f>
        <v/>
      </c>
    </row>
    <row r="21">
      <c r="A21" s="173" t="inlineStr">
        <is>
          <t>▌ DELIVERY</t>
        </is>
      </c>
      <c r="B21" s="174" t="n"/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  <c r="BI21" s="174" t="n"/>
      <c r="BJ21" s="174" t="n"/>
      <c r="BK21" s="174" t="n"/>
      <c r="BL21" s="174" t="n"/>
      <c r="BM21" s="174" t="n"/>
      <c r="BN21" s="174" t="n"/>
      <c r="BO21" s="174" t="n"/>
      <c r="BP21" s="174" t="n"/>
      <c r="BQ21" s="174" t="n"/>
      <c r="BR21" s="174" t="n"/>
      <c r="BS21" s="174" t="n"/>
      <c r="BT21" s="174" t="n"/>
    </row>
    <row r="22">
      <c r="A22" s="175" t="inlineStr">
        <is>
          <t>DELIVERY</t>
        </is>
      </c>
      <c r="B22" s="176" t="inlineStr">
        <is>
          <t>Head of Delivery</t>
        </is>
      </c>
      <c r="C22" s="186" t="inlineStr">
        <is>
          <t>★ Проекти в строк</t>
        </is>
      </c>
      <c r="D22" s="178" t="inlineStr">
        <is>
          <t>%</t>
        </is>
      </c>
      <c r="E22" s="178" t="inlineStr">
        <is>
          <t>avg</t>
        </is>
      </c>
      <c r="F22" s="191" t="n">
        <v>0.85</v>
      </c>
      <c r="G22" s="191" t="n"/>
      <c r="H22" s="191" t="n"/>
      <c r="I22" s="191" t="n"/>
      <c r="J22" s="191" t="n"/>
      <c r="K22" s="191" t="n"/>
      <c r="L22" s="193">
        <f>IFERROR(AVERAGE(G22:K22),"")</f>
        <v/>
      </c>
      <c r="M22" s="181">
        <f>IFERROR(L22/F22,"")</f>
        <v/>
      </c>
      <c r="N22" s="191" t="n">
        <v>0.85</v>
      </c>
      <c r="O22" s="191" t="n"/>
      <c r="P22" s="191" t="n"/>
      <c r="Q22" s="191" t="n"/>
      <c r="R22" s="191" t="n"/>
      <c r="S22" s="191" t="n"/>
      <c r="T22" s="193">
        <f>IFERROR(AVERAGE(O22:S22),"")</f>
        <v/>
      </c>
      <c r="U22" s="181">
        <f>IFERROR(T22/N22,"")</f>
        <v/>
      </c>
      <c r="V22" s="191" t="n">
        <v>0.85</v>
      </c>
      <c r="W22" s="191" t="n"/>
      <c r="X22" s="191" t="n"/>
      <c r="Y22" s="191" t="n"/>
      <c r="Z22" s="191" t="n"/>
      <c r="AA22" s="191" t="n"/>
      <c r="AB22" s="191" t="n"/>
      <c r="AC22" s="193">
        <f>IFERROR(AVERAGE(W22:AB22),"")</f>
        <v/>
      </c>
      <c r="AD22" s="181">
        <f>IFERROR(AC22/V22,"")</f>
        <v/>
      </c>
      <c r="AE22" s="191" t="n">
        <v>0.85</v>
      </c>
      <c r="AF22" s="191" t="n"/>
      <c r="AG22" s="191" t="n"/>
      <c r="AH22" s="191" t="n"/>
      <c r="AI22" s="191" t="n"/>
      <c r="AJ22" s="191" t="n"/>
      <c r="AK22" s="193">
        <f>IFERROR(AVERAGE(AF22:AJ22),"")</f>
        <v/>
      </c>
      <c r="AL22" s="181">
        <f>IFERROR(AK22/AE22,"")</f>
        <v/>
      </c>
      <c r="AM22" s="183">
        <f>IFERROR(AVERAGE(N22,V22,AE22),"")</f>
        <v/>
      </c>
      <c r="AN22" s="183">
        <f>IFERROR(AVERAGE(T22,AC22,AK22),"")</f>
        <v/>
      </c>
      <c r="AO22" s="183">
        <f>IFERROR(AN22/AM22,"")</f>
        <v/>
      </c>
      <c r="AP22" s="191" t="n">
        <v>0.85</v>
      </c>
      <c r="AQ22" s="191" t="n"/>
      <c r="AR22" s="191" t="n"/>
      <c r="AS22" s="191" t="n"/>
      <c r="AT22" s="191" t="n"/>
      <c r="AU22" s="191" t="n"/>
      <c r="AV22" s="193">
        <f>IFERROR(AVERAGE(AQ22:AU22),"")</f>
        <v/>
      </c>
      <c r="AW22" s="181">
        <f>IFERROR(AV22/AP22,"")</f>
        <v/>
      </c>
      <c r="AX22" s="191" t="n">
        <v>0.85</v>
      </c>
      <c r="AY22" s="191" t="n"/>
      <c r="AZ22" s="191" t="n"/>
      <c r="BA22" s="191" t="n"/>
      <c r="BB22" s="191" t="n"/>
      <c r="BC22" s="191" t="n"/>
      <c r="BD22" s="191" t="n"/>
      <c r="BE22" s="193">
        <f>IFERROR(AVERAGE(AY22:BD22),"")</f>
        <v/>
      </c>
      <c r="BF22" s="181">
        <f>IFERROR(BE22/AX22,"")</f>
        <v/>
      </c>
      <c r="BG22" s="191" t="n">
        <v>0.85</v>
      </c>
      <c r="BH22" s="191" t="n"/>
      <c r="BI22" s="191" t="n"/>
      <c r="BJ22" s="191" t="n"/>
      <c r="BK22" s="191" t="n"/>
      <c r="BL22" s="191" t="n"/>
      <c r="BM22" s="193">
        <f>IFERROR(AVERAGE(BH22:BL22),"")</f>
        <v/>
      </c>
      <c r="BN22" s="181">
        <f>IFERROR(BM22/BG22,"")</f>
        <v/>
      </c>
      <c r="BO22" s="183">
        <f>IFERROR(AVERAGE(AP22,AX22,BG22),"")</f>
        <v/>
      </c>
      <c r="BP22" s="183">
        <f>IFERROR(AVERAGE(AV22,BE22,BM22),"")</f>
        <v/>
      </c>
      <c r="BQ22" s="183">
        <f>IFERROR(BP22/BO22,"")</f>
        <v/>
      </c>
      <c r="BR22" s="185">
        <f>IFERROR(AVERAGE(N22,V22,AE22,AP22,AX22,BG22),"")</f>
        <v/>
      </c>
      <c r="BS22" s="185">
        <f>IFERROR(AVERAGE(T22,AC22,AK22,AV22,BE22,BM22),"")</f>
        <v/>
      </c>
      <c r="BT22" s="185">
        <f>IFERROR(BS22/BR22,"")</f>
        <v/>
      </c>
    </row>
    <row r="23">
      <c r="A23" s="175" t="inlineStr">
        <is>
          <t>DELIVERY</t>
        </is>
      </c>
      <c r="B23" s="176" t="inlineStr">
        <is>
          <t>Head of Delivery</t>
        </is>
      </c>
      <c r="C23" s="186" t="inlineStr">
        <is>
          <t>★ Utilization</t>
        </is>
      </c>
      <c r="D23" s="178" t="inlineStr">
        <is>
          <t>%</t>
        </is>
      </c>
      <c r="E23" s="178" t="inlineStr">
        <is>
          <t>avg</t>
        </is>
      </c>
      <c r="F23" s="191" t="n">
        <v>0.85</v>
      </c>
      <c r="G23" s="191" t="n"/>
      <c r="H23" s="191" t="n"/>
      <c r="I23" s="191" t="n"/>
      <c r="J23" s="191" t="n"/>
      <c r="K23" s="191" t="n"/>
      <c r="L23" s="193">
        <f>IFERROR(AVERAGE(G23:K23),"")</f>
        <v/>
      </c>
      <c r="M23" s="181">
        <f>IFERROR(L23/F23,"")</f>
        <v/>
      </c>
      <c r="N23" s="191" t="n">
        <v>0.85</v>
      </c>
      <c r="O23" s="191" t="n"/>
      <c r="P23" s="191" t="n"/>
      <c r="Q23" s="191" t="n"/>
      <c r="R23" s="191" t="n"/>
      <c r="S23" s="191" t="n"/>
      <c r="T23" s="193">
        <f>IFERROR(AVERAGE(O23:S23),"")</f>
        <v/>
      </c>
      <c r="U23" s="181">
        <f>IFERROR(T23/N23,"")</f>
        <v/>
      </c>
      <c r="V23" s="191" t="n">
        <v>0.85</v>
      </c>
      <c r="W23" s="191" t="n"/>
      <c r="X23" s="191" t="n"/>
      <c r="Y23" s="191" t="n"/>
      <c r="Z23" s="191" t="n"/>
      <c r="AA23" s="191" t="n"/>
      <c r="AB23" s="191" t="n"/>
      <c r="AC23" s="193">
        <f>IFERROR(AVERAGE(W23:AB23),"")</f>
        <v/>
      </c>
      <c r="AD23" s="181">
        <f>IFERROR(AC23/V23,"")</f>
        <v/>
      </c>
      <c r="AE23" s="191" t="n">
        <v>0.85</v>
      </c>
      <c r="AF23" s="191" t="n"/>
      <c r="AG23" s="191" t="n"/>
      <c r="AH23" s="191" t="n"/>
      <c r="AI23" s="191" t="n"/>
      <c r="AJ23" s="191" t="n"/>
      <c r="AK23" s="193">
        <f>IFERROR(AVERAGE(AF23:AJ23),"")</f>
        <v/>
      </c>
      <c r="AL23" s="181">
        <f>IFERROR(AK23/AE23,"")</f>
        <v/>
      </c>
      <c r="AM23" s="183">
        <f>IFERROR(AVERAGE(N23,V23,AE23),"")</f>
        <v/>
      </c>
      <c r="AN23" s="183">
        <f>IFERROR(AVERAGE(T23,AC23,AK23),"")</f>
        <v/>
      </c>
      <c r="AO23" s="183">
        <f>IFERROR(AN23/AM23,"")</f>
        <v/>
      </c>
      <c r="AP23" s="191" t="n">
        <v>0.85</v>
      </c>
      <c r="AQ23" s="191" t="n"/>
      <c r="AR23" s="191" t="n"/>
      <c r="AS23" s="191" t="n"/>
      <c r="AT23" s="191" t="n"/>
      <c r="AU23" s="191" t="n"/>
      <c r="AV23" s="193">
        <f>IFERROR(AVERAGE(AQ23:AU23),"")</f>
        <v/>
      </c>
      <c r="AW23" s="181">
        <f>IFERROR(AV23/AP23,"")</f>
        <v/>
      </c>
      <c r="AX23" s="191" t="n">
        <v>0.85</v>
      </c>
      <c r="AY23" s="191" t="n"/>
      <c r="AZ23" s="191" t="n"/>
      <c r="BA23" s="191" t="n"/>
      <c r="BB23" s="191" t="n"/>
      <c r="BC23" s="191" t="n"/>
      <c r="BD23" s="191" t="n"/>
      <c r="BE23" s="193">
        <f>IFERROR(AVERAGE(AY23:BD23),"")</f>
        <v/>
      </c>
      <c r="BF23" s="181">
        <f>IFERROR(BE23/AX23,"")</f>
        <v/>
      </c>
      <c r="BG23" s="191" t="n">
        <v>0.85</v>
      </c>
      <c r="BH23" s="191" t="n"/>
      <c r="BI23" s="191" t="n"/>
      <c r="BJ23" s="191" t="n"/>
      <c r="BK23" s="191" t="n"/>
      <c r="BL23" s="191" t="n"/>
      <c r="BM23" s="193">
        <f>IFERROR(AVERAGE(BH23:BL23),"")</f>
        <v/>
      </c>
      <c r="BN23" s="181">
        <f>IFERROR(BM23/BG23,"")</f>
        <v/>
      </c>
      <c r="BO23" s="183">
        <f>IFERROR(AVERAGE(AP23,AX23,BG23),"")</f>
        <v/>
      </c>
      <c r="BP23" s="183">
        <f>IFERROR(AVERAGE(AV23,BE23,BM23),"")</f>
        <v/>
      </c>
      <c r="BQ23" s="183">
        <f>IFERROR(BP23/BO23,"")</f>
        <v/>
      </c>
      <c r="BR23" s="185">
        <f>IFERROR(AVERAGE(N23,V23,AE23,AP23,AX23,BG23),"")</f>
        <v/>
      </c>
      <c r="BS23" s="185">
        <f>IFERROR(AVERAGE(T23,AC23,AK23,AV23,BE23,BM23),"")</f>
        <v/>
      </c>
      <c r="BT23" s="185">
        <f>IFERROR(BS23/BR23,"")</f>
        <v/>
      </c>
    </row>
    <row r="24">
      <c r="A24" s="175" t="inlineStr">
        <is>
          <t>DELIVERY</t>
        </is>
      </c>
      <c r="B24" s="176" t="inlineStr">
        <is>
          <t>Head of Delivery</t>
        </is>
      </c>
      <c r="C24" s="186" t="inlineStr">
        <is>
          <t>★ Маржа проектів</t>
        </is>
      </c>
      <c r="D24" s="178" t="inlineStr">
        <is>
          <t>%</t>
        </is>
      </c>
      <c r="E24" s="178" t="inlineStr">
        <is>
          <t>avg</t>
        </is>
      </c>
      <c r="F24" s="191" t="n">
        <v>0.3</v>
      </c>
      <c r="G24" s="192" t="n"/>
      <c r="H24" s="192" t="n"/>
      <c r="I24" s="192" t="n"/>
      <c r="J24" s="192" t="n"/>
      <c r="K24" s="192" t="n"/>
      <c r="L24" s="191" t="n"/>
      <c r="M24" s="181">
        <f>IFERROR(L24/F24,"")</f>
        <v/>
      </c>
      <c r="N24" s="191" t="n">
        <v>0.3</v>
      </c>
      <c r="O24" s="192" t="n"/>
      <c r="P24" s="192" t="n"/>
      <c r="Q24" s="192" t="n"/>
      <c r="R24" s="192" t="n"/>
      <c r="S24" s="192" t="n"/>
      <c r="T24" s="191" t="n"/>
      <c r="U24" s="181">
        <f>IFERROR(T24/N24,"")</f>
        <v/>
      </c>
      <c r="V24" s="191" t="n">
        <v>0.3</v>
      </c>
      <c r="W24" s="192" t="n"/>
      <c r="X24" s="192" t="n"/>
      <c r="Y24" s="192" t="n"/>
      <c r="Z24" s="192" t="n"/>
      <c r="AA24" s="192" t="n"/>
      <c r="AB24" s="192" t="n"/>
      <c r="AC24" s="191" t="n"/>
      <c r="AD24" s="181">
        <f>IFERROR(AC24/V24,"")</f>
        <v/>
      </c>
      <c r="AE24" s="191" t="n">
        <v>0.3</v>
      </c>
      <c r="AF24" s="192" t="n"/>
      <c r="AG24" s="192" t="n"/>
      <c r="AH24" s="192" t="n"/>
      <c r="AI24" s="192" t="n"/>
      <c r="AJ24" s="192" t="n"/>
      <c r="AK24" s="191" t="n"/>
      <c r="AL24" s="181">
        <f>IFERROR(AK24/AE24,"")</f>
        <v/>
      </c>
      <c r="AM24" s="183">
        <f>IFERROR(AVERAGE(N24,V24,AE24),"")</f>
        <v/>
      </c>
      <c r="AN24" s="183">
        <f>IFERROR(AVERAGE(T24,AC24,AK24),"")</f>
        <v/>
      </c>
      <c r="AO24" s="183">
        <f>IFERROR(AN24/AM24,"")</f>
        <v/>
      </c>
      <c r="AP24" s="191" t="n">
        <v>0.3</v>
      </c>
      <c r="AQ24" s="192" t="n"/>
      <c r="AR24" s="192" t="n"/>
      <c r="AS24" s="192" t="n"/>
      <c r="AT24" s="192" t="n"/>
      <c r="AU24" s="192" t="n"/>
      <c r="AV24" s="191" t="n"/>
      <c r="AW24" s="181">
        <f>IFERROR(AV24/AP24,"")</f>
        <v/>
      </c>
      <c r="AX24" s="191" t="n">
        <v>0.3</v>
      </c>
      <c r="AY24" s="192" t="n"/>
      <c r="AZ24" s="192" t="n"/>
      <c r="BA24" s="192" t="n"/>
      <c r="BB24" s="192" t="n"/>
      <c r="BC24" s="192" t="n"/>
      <c r="BD24" s="192" t="n"/>
      <c r="BE24" s="191" t="n"/>
      <c r="BF24" s="181">
        <f>IFERROR(BE24/AX24,"")</f>
        <v/>
      </c>
      <c r="BG24" s="191" t="n">
        <v>0.3</v>
      </c>
      <c r="BH24" s="192" t="n"/>
      <c r="BI24" s="192" t="n"/>
      <c r="BJ24" s="192" t="n"/>
      <c r="BK24" s="192" t="n"/>
      <c r="BL24" s="192" t="n"/>
      <c r="BM24" s="191" t="n"/>
      <c r="BN24" s="181">
        <f>IFERROR(BM24/BG24,"")</f>
        <v/>
      </c>
      <c r="BO24" s="183">
        <f>IFERROR(AVERAGE(AP24,AX24,BG24),"")</f>
        <v/>
      </c>
      <c r="BP24" s="183">
        <f>IFERROR(AVERAGE(AV24,BE24,BM24),"")</f>
        <v/>
      </c>
      <c r="BQ24" s="183">
        <f>IFERROR(BP24/BO24,"")</f>
        <v/>
      </c>
      <c r="BR24" s="185">
        <f>IFERROR(AVERAGE(N24,V24,AE24,AP24,AX24,BG24),"")</f>
        <v/>
      </c>
      <c r="BS24" s="185">
        <f>IFERROR(AVERAGE(T24,AC24,AK24,AV24,BE24,BM24),"")</f>
        <v/>
      </c>
      <c r="BT24" s="185">
        <f>IFERROR(BS24/BR24,"")</f>
        <v/>
      </c>
    </row>
    <row r="25">
      <c r="A25" s="175" t="inlineStr">
        <is>
          <t>DELIVERY</t>
        </is>
      </c>
      <c r="B25" s="176" t="inlineStr">
        <is>
          <t>Head of Delivery</t>
        </is>
      </c>
      <c r="C25" s="177" t="inlineStr">
        <is>
          <t>Revision requests</t>
        </is>
      </c>
      <c r="D25" s="178" t="inlineStr">
        <is>
          <t>%</t>
        </is>
      </c>
      <c r="E25" s="178" t="inlineStr">
        <is>
          <t>avg</t>
        </is>
      </c>
      <c r="F25" s="191" t="n">
        <v>0.1</v>
      </c>
      <c r="G25" s="192" t="n"/>
      <c r="H25" s="192" t="n"/>
      <c r="I25" s="192" t="n"/>
      <c r="J25" s="192" t="n"/>
      <c r="K25" s="192" t="n"/>
      <c r="L25" s="191" t="n"/>
      <c r="M25" s="181">
        <f>IFERROR(L25/F25,"")</f>
        <v/>
      </c>
      <c r="N25" s="191" t="n">
        <v>0.1</v>
      </c>
      <c r="O25" s="192" t="n"/>
      <c r="P25" s="192" t="n"/>
      <c r="Q25" s="192" t="n"/>
      <c r="R25" s="192" t="n"/>
      <c r="S25" s="192" t="n"/>
      <c r="T25" s="191" t="n"/>
      <c r="U25" s="181">
        <f>IFERROR(T25/N25,"")</f>
        <v/>
      </c>
      <c r="V25" s="191" t="n">
        <v>0.1</v>
      </c>
      <c r="W25" s="192" t="n"/>
      <c r="X25" s="192" t="n"/>
      <c r="Y25" s="192" t="n"/>
      <c r="Z25" s="192" t="n"/>
      <c r="AA25" s="192" t="n"/>
      <c r="AB25" s="192" t="n"/>
      <c r="AC25" s="191" t="n"/>
      <c r="AD25" s="181">
        <f>IFERROR(AC25/V25,"")</f>
        <v/>
      </c>
      <c r="AE25" s="191" t="n">
        <v>0.1</v>
      </c>
      <c r="AF25" s="192" t="n"/>
      <c r="AG25" s="192" t="n"/>
      <c r="AH25" s="192" t="n"/>
      <c r="AI25" s="192" t="n"/>
      <c r="AJ25" s="192" t="n"/>
      <c r="AK25" s="191" t="n"/>
      <c r="AL25" s="181">
        <f>IFERROR(AK25/AE25,"")</f>
        <v/>
      </c>
      <c r="AM25" s="183">
        <f>IFERROR(AVERAGE(N25,V25,AE25),"")</f>
        <v/>
      </c>
      <c r="AN25" s="183">
        <f>IFERROR(AVERAGE(T25,AC25,AK25),"")</f>
        <v/>
      </c>
      <c r="AO25" s="183">
        <f>IFERROR(AN25/AM25,"")</f>
        <v/>
      </c>
      <c r="AP25" s="191" t="n">
        <v>0.1</v>
      </c>
      <c r="AQ25" s="192" t="n"/>
      <c r="AR25" s="192" t="n"/>
      <c r="AS25" s="192" t="n"/>
      <c r="AT25" s="192" t="n"/>
      <c r="AU25" s="192" t="n"/>
      <c r="AV25" s="191" t="n"/>
      <c r="AW25" s="181">
        <f>IFERROR(AV25/AP25,"")</f>
        <v/>
      </c>
      <c r="AX25" s="191" t="n">
        <v>0.1</v>
      </c>
      <c r="AY25" s="192" t="n"/>
      <c r="AZ25" s="192" t="n"/>
      <c r="BA25" s="192" t="n"/>
      <c r="BB25" s="192" t="n"/>
      <c r="BC25" s="192" t="n"/>
      <c r="BD25" s="192" t="n"/>
      <c r="BE25" s="191" t="n"/>
      <c r="BF25" s="181">
        <f>IFERROR(BE25/AX25,"")</f>
        <v/>
      </c>
      <c r="BG25" s="191" t="n">
        <v>0.1</v>
      </c>
      <c r="BH25" s="192" t="n"/>
      <c r="BI25" s="192" t="n"/>
      <c r="BJ25" s="192" t="n"/>
      <c r="BK25" s="192" t="n"/>
      <c r="BL25" s="192" t="n"/>
      <c r="BM25" s="191" t="n"/>
      <c r="BN25" s="181">
        <f>IFERROR(BM25/BG25,"")</f>
        <v/>
      </c>
      <c r="BO25" s="183">
        <f>IFERROR(AVERAGE(AP25,AX25,BG25),"")</f>
        <v/>
      </c>
      <c r="BP25" s="183">
        <f>IFERROR(AVERAGE(AV25,BE25,BM25),"")</f>
        <v/>
      </c>
      <c r="BQ25" s="183">
        <f>IFERROR(BP25/BO25,"")</f>
        <v/>
      </c>
      <c r="BR25" s="185">
        <f>IFERROR(AVERAGE(N25,V25,AE25,AP25,AX25,BG25),"")</f>
        <v/>
      </c>
      <c r="BS25" s="185">
        <f>IFERROR(AVERAGE(T25,AC25,AK25,AV25,BE25,BM25),"")</f>
        <v/>
      </c>
      <c r="BT25" s="185">
        <f>IFERROR(BS25/BR25,"")</f>
        <v/>
      </c>
    </row>
    <row r="26">
      <c r="A26" s="175" t="inlineStr">
        <is>
          <t>DELIVERY</t>
        </is>
      </c>
      <c r="B26" s="176" t="inlineStr">
        <is>
          <t>PM</t>
        </is>
      </c>
      <c r="C26" s="177" t="inlineStr">
        <is>
          <t>Client CSAT</t>
        </is>
      </c>
      <c r="D26" s="178" t="inlineStr">
        <is>
          <t>бал</t>
        </is>
      </c>
      <c r="E26" s="178" t="inlineStr">
        <is>
          <t>avg</t>
        </is>
      </c>
      <c r="F26" s="194" t="n">
        <v>8</v>
      </c>
      <c r="G26" s="195" t="n"/>
      <c r="H26" s="195" t="n"/>
      <c r="I26" s="195" t="n"/>
      <c r="J26" s="195" t="n"/>
      <c r="K26" s="195" t="n"/>
      <c r="L26" s="194" t="n"/>
      <c r="M26" s="181">
        <f>IFERROR(L26/F26,"")</f>
        <v/>
      </c>
      <c r="N26" s="194" t="n">
        <v>8</v>
      </c>
      <c r="O26" s="195" t="n"/>
      <c r="P26" s="195" t="n"/>
      <c r="Q26" s="195" t="n"/>
      <c r="R26" s="195" t="n"/>
      <c r="S26" s="195" t="n"/>
      <c r="T26" s="194" t="n"/>
      <c r="U26" s="181">
        <f>IFERROR(T26/N26,"")</f>
        <v/>
      </c>
      <c r="V26" s="194" t="n">
        <v>8</v>
      </c>
      <c r="W26" s="195" t="n"/>
      <c r="X26" s="195" t="n"/>
      <c r="Y26" s="195" t="n"/>
      <c r="Z26" s="195" t="n"/>
      <c r="AA26" s="195" t="n"/>
      <c r="AB26" s="195" t="n"/>
      <c r="AC26" s="194" t="n"/>
      <c r="AD26" s="181">
        <f>IFERROR(AC26/V26,"")</f>
        <v/>
      </c>
      <c r="AE26" s="194" t="n">
        <v>8</v>
      </c>
      <c r="AF26" s="195" t="n"/>
      <c r="AG26" s="195" t="n"/>
      <c r="AH26" s="195" t="n"/>
      <c r="AI26" s="195" t="n"/>
      <c r="AJ26" s="195" t="n"/>
      <c r="AK26" s="194" t="n"/>
      <c r="AL26" s="181">
        <f>IFERROR(AK26/AE26,"")</f>
        <v/>
      </c>
      <c r="AM26" s="196">
        <f>IFERROR(AVERAGE(N26,V26,AE26),"")</f>
        <v/>
      </c>
      <c r="AN26" s="196">
        <f>IFERROR(AVERAGE(T26,AC26,AK26),"")</f>
        <v/>
      </c>
      <c r="AO26" s="183">
        <f>IFERROR(AN26/AM26,"")</f>
        <v/>
      </c>
      <c r="AP26" s="194" t="n">
        <v>8</v>
      </c>
      <c r="AQ26" s="195" t="n"/>
      <c r="AR26" s="195" t="n"/>
      <c r="AS26" s="195" t="n"/>
      <c r="AT26" s="195" t="n"/>
      <c r="AU26" s="195" t="n"/>
      <c r="AV26" s="194" t="n"/>
      <c r="AW26" s="181">
        <f>IFERROR(AV26/AP26,"")</f>
        <v/>
      </c>
      <c r="AX26" s="194" t="n">
        <v>8</v>
      </c>
      <c r="AY26" s="195" t="n"/>
      <c r="AZ26" s="195" t="n"/>
      <c r="BA26" s="195" t="n"/>
      <c r="BB26" s="195" t="n"/>
      <c r="BC26" s="195" t="n"/>
      <c r="BD26" s="195" t="n"/>
      <c r="BE26" s="194" t="n"/>
      <c r="BF26" s="181">
        <f>IFERROR(BE26/AX26,"")</f>
        <v/>
      </c>
      <c r="BG26" s="194" t="n">
        <v>8</v>
      </c>
      <c r="BH26" s="195" t="n"/>
      <c r="BI26" s="195" t="n"/>
      <c r="BJ26" s="195" t="n"/>
      <c r="BK26" s="195" t="n"/>
      <c r="BL26" s="195" t="n"/>
      <c r="BM26" s="194" t="n"/>
      <c r="BN26" s="181">
        <f>IFERROR(BM26/BG26,"")</f>
        <v/>
      </c>
      <c r="BO26" s="196">
        <f>IFERROR(AVERAGE(AP26,AX26,BG26),"")</f>
        <v/>
      </c>
      <c r="BP26" s="196">
        <f>IFERROR(AVERAGE(AV26,BE26,BM26),"")</f>
        <v/>
      </c>
      <c r="BQ26" s="183">
        <f>IFERROR(BP26/BO26,"")</f>
        <v/>
      </c>
      <c r="BR26" s="197">
        <f>IFERROR(AVERAGE(N26,V26,AE26,AP26,AX26,BG26),"")</f>
        <v/>
      </c>
      <c r="BS26" s="197">
        <f>IFERROR(AVERAGE(T26,AC26,AK26,AV26,BE26,BM26),"")</f>
        <v/>
      </c>
      <c r="BT26" s="185">
        <f>IFERROR(BS26/BR26,"")</f>
        <v/>
      </c>
    </row>
    <row r="27">
      <c r="A27" s="175" t="inlineStr">
        <is>
          <t>DELIVERY</t>
        </is>
      </c>
      <c r="B27" s="176" t="inlineStr">
        <is>
          <t>Head of Delivery</t>
        </is>
      </c>
      <c r="C27" s="177" t="inlineStr">
        <is>
          <t>Оцінки ≤48 год</t>
        </is>
      </c>
      <c r="D27" s="178" t="inlineStr">
        <is>
          <t>%</t>
        </is>
      </c>
      <c r="E27" s="178" t="inlineStr">
        <is>
          <t>avg</t>
        </is>
      </c>
      <c r="F27" s="191" t="n">
        <v>0.9</v>
      </c>
      <c r="G27" s="191" t="n"/>
      <c r="H27" s="191" t="n"/>
      <c r="I27" s="191" t="n"/>
      <c r="J27" s="191" t="n"/>
      <c r="K27" s="191" t="n"/>
      <c r="L27" s="193">
        <f>IFERROR(AVERAGE(G27:K27),"")</f>
        <v/>
      </c>
      <c r="M27" s="181">
        <f>IFERROR(L27/F27,"")</f>
        <v/>
      </c>
      <c r="N27" s="191" t="n">
        <v>0.9</v>
      </c>
      <c r="O27" s="191" t="n"/>
      <c r="P27" s="191" t="n"/>
      <c r="Q27" s="191" t="n"/>
      <c r="R27" s="191" t="n"/>
      <c r="S27" s="191" t="n"/>
      <c r="T27" s="193">
        <f>IFERROR(AVERAGE(O27:S27),"")</f>
        <v/>
      </c>
      <c r="U27" s="181">
        <f>IFERROR(T27/N27,"")</f>
        <v/>
      </c>
      <c r="V27" s="191" t="n">
        <v>0.9</v>
      </c>
      <c r="W27" s="191" t="n"/>
      <c r="X27" s="191" t="n"/>
      <c r="Y27" s="191" t="n"/>
      <c r="Z27" s="191" t="n"/>
      <c r="AA27" s="191" t="n"/>
      <c r="AB27" s="191" t="n"/>
      <c r="AC27" s="193">
        <f>IFERROR(AVERAGE(W27:AB27),"")</f>
        <v/>
      </c>
      <c r="AD27" s="181">
        <f>IFERROR(AC27/V27,"")</f>
        <v/>
      </c>
      <c r="AE27" s="191" t="n">
        <v>0.9</v>
      </c>
      <c r="AF27" s="191" t="n"/>
      <c r="AG27" s="191" t="n"/>
      <c r="AH27" s="191" t="n"/>
      <c r="AI27" s="191" t="n"/>
      <c r="AJ27" s="191" t="n"/>
      <c r="AK27" s="193">
        <f>IFERROR(AVERAGE(AF27:AJ27),"")</f>
        <v/>
      </c>
      <c r="AL27" s="181">
        <f>IFERROR(AK27/AE27,"")</f>
        <v/>
      </c>
      <c r="AM27" s="183">
        <f>IFERROR(AVERAGE(N27,V27,AE27),"")</f>
        <v/>
      </c>
      <c r="AN27" s="183">
        <f>IFERROR(AVERAGE(T27,AC27,AK27),"")</f>
        <v/>
      </c>
      <c r="AO27" s="183">
        <f>IFERROR(AN27/AM27,"")</f>
        <v/>
      </c>
      <c r="AP27" s="191" t="n">
        <v>0.9</v>
      </c>
      <c r="AQ27" s="191" t="n"/>
      <c r="AR27" s="191" t="n"/>
      <c r="AS27" s="191" t="n"/>
      <c r="AT27" s="191" t="n"/>
      <c r="AU27" s="191" t="n"/>
      <c r="AV27" s="193">
        <f>IFERROR(AVERAGE(AQ27:AU27),"")</f>
        <v/>
      </c>
      <c r="AW27" s="181">
        <f>IFERROR(AV27/AP27,"")</f>
        <v/>
      </c>
      <c r="AX27" s="191" t="n">
        <v>0.9</v>
      </c>
      <c r="AY27" s="191" t="n"/>
      <c r="AZ27" s="191" t="n"/>
      <c r="BA27" s="191" t="n"/>
      <c r="BB27" s="191" t="n"/>
      <c r="BC27" s="191" t="n"/>
      <c r="BD27" s="191" t="n"/>
      <c r="BE27" s="193">
        <f>IFERROR(AVERAGE(AY27:BD27),"")</f>
        <v/>
      </c>
      <c r="BF27" s="181">
        <f>IFERROR(BE27/AX27,"")</f>
        <v/>
      </c>
      <c r="BG27" s="191" t="n">
        <v>0.9</v>
      </c>
      <c r="BH27" s="191" t="n"/>
      <c r="BI27" s="191" t="n"/>
      <c r="BJ27" s="191" t="n"/>
      <c r="BK27" s="191" t="n"/>
      <c r="BL27" s="191" t="n"/>
      <c r="BM27" s="193">
        <f>IFERROR(AVERAGE(BH27:BL27),"")</f>
        <v/>
      </c>
      <c r="BN27" s="181">
        <f>IFERROR(BM27/BG27,"")</f>
        <v/>
      </c>
      <c r="BO27" s="183">
        <f>IFERROR(AVERAGE(AP27,AX27,BG27),"")</f>
        <v/>
      </c>
      <c r="BP27" s="183">
        <f>IFERROR(AVERAGE(AV27,BE27,BM27),"")</f>
        <v/>
      </c>
      <c r="BQ27" s="183">
        <f>IFERROR(BP27/BO27,"")</f>
        <v/>
      </c>
      <c r="BR27" s="185">
        <f>IFERROR(AVERAGE(N27,V27,AE27,AP27,AX27,BG27),"")</f>
        <v/>
      </c>
      <c r="BS27" s="185">
        <f>IFERROR(AVERAGE(T27,AC27,AK27,AV27,BE27,BM27),"")</f>
        <v/>
      </c>
      <c r="BT27" s="185">
        <f>IFERROR(BS27/BR27,"")</f>
        <v/>
      </c>
    </row>
    <row r="28">
      <c r="A28" s="173" t="inlineStr">
        <is>
          <t>▌ TECH</t>
        </is>
      </c>
      <c r="B28" s="174" t="n"/>
      <c r="C28" s="174" t="n"/>
      <c r="D28" s="174" t="n"/>
      <c r="E28" s="174" t="n"/>
      <c r="F28" s="174" t="n"/>
      <c r="G28" s="174" t="n"/>
      <c r="H28" s="174" t="n"/>
      <c r="I28" s="174" t="n"/>
      <c r="J28" s="174" t="n"/>
      <c r="K28" s="174" t="n"/>
      <c r="L28" s="174" t="n"/>
      <c r="M28" s="174" t="n"/>
      <c r="N28" s="174" t="n"/>
      <c r="O28" s="174" t="n"/>
      <c r="P28" s="174" t="n"/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74" t="n"/>
      <c r="Z28" s="174" t="n"/>
      <c r="AA28" s="174" t="n"/>
      <c r="AB28" s="174" t="n"/>
      <c r="AC28" s="174" t="n"/>
      <c r="AD28" s="174" t="n"/>
      <c r="AE28" s="174" t="n"/>
      <c r="AF28" s="174" t="n"/>
      <c r="AG28" s="174" t="n"/>
      <c r="AH28" s="174" t="n"/>
      <c r="AI28" s="174" t="n"/>
      <c r="AJ28" s="174" t="n"/>
      <c r="AK28" s="174" t="n"/>
      <c r="AL28" s="174" t="n"/>
      <c r="AM28" s="174" t="n"/>
      <c r="AN28" s="174" t="n"/>
      <c r="AO28" s="174" t="n"/>
      <c r="AP28" s="174" t="n"/>
      <c r="AQ28" s="174" t="n"/>
      <c r="AR28" s="174" t="n"/>
      <c r="AS28" s="174" t="n"/>
      <c r="AT28" s="174" t="n"/>
      <c r="AU28" s="174" t="n"/>
      <c r="AV28" s="174" t="n"/>
      <c r="AW28" s="174" t="n"/>
      <c r="AX28" s="174" t="n"/>
      <c r="AY28" s="174" t="n"/>
      <c r="AZ28" s="174" t="n"/>
      <c r="BA28" s="174" t="n"/>
      <c r="BB28" s="174" t="n"/>
      <c r="BC28" s="174" t="n"/>
      <c r="BD28" s="174" t="n"/>
      <c r="BE28" s="174" t="n"/>
      <c r="BF28" s="174" t="n"/>
      <c r="BG28" s="174" t="n"/>
      <c r="BH28" s="174" t="n"/>
      <c r="BI28" s="174" t="n"/>
      <c r="BJ28" s="174" t="n"/>
      <c r="BK28" s="174" t="n"/>
      <c r="BL28" s="174" t="n"/>
      <c r="BM28" s="174" t="n"/>
      <c r="BN28" s="174" t="n"/>
      <c r="BO28" s="174" t="n"/>
      <c r="BP28" s="174" t="n"/>
      <c r="BQ28" s="174" t="n"/>
      <c r="BR28" s="174" t="n"/>
      <c r="BS28" s="174" t="n"/>
      <c r="BT28" s="174" t="n"/>
    </row>
    <row r="29">
      <c r="A29" s="175" t="inlineStr">
        <is>
          <t>TECH</t>
        </is>
      </c>
      <c r="B29" s="176" t="inlineStr">
        <is>
          <t>CTO</t>
        </is>
      </c>
      <c r="C29" s="177" t="inlineStr">
        <is>
          <t>Sprint delivery rate</t>
        </is>
      </c>
      <c r="D29" s="178" t="inlineStr">
        <is>
          <t>%</t>
        </is>
      </c>
      <c r="E29" s="178" t="inlineStr">
        <is>
          <t>avg</t>
        </is>
      </c>
      <c r="F29" s="191" t="n">
        <v>0.85</v>
      </c>
      <c r="G29" s="191" t="n"/>
      <c r="H29" s="191" t="n"/>
      <c r="I29" s="191" t="n"/>
      <c r="J29" s="191" t="n"/>
      <c r="K29" s="191" t="n"/>
      <c r="L29" s="193">
        <f>IFERROR(AVERAGE(G29:K29),"")</f>
        <v/>
      </c>
      <c r="M29" s="181">
        <f>IFERROR(L29/F29,"")</f>
        <v/>
      </c>
      <c r="N29" s="191" t="n">
        <v>0.85</v>
      </c>
      <c r="O29" s="191" t="n"/>
      <c r="P29" s="191" t="n"/>
      <c r="Q29" s="191" t="n"/>
      <c r="R29" s="191" t="n"/>
      <c r="S29" s="191" t="n"/>
      <c r="T29" s="193">
        <f>IFERROR(AVERAGE(O29:S29),"")</f>
        <v/>
      </c>
      <c r="U29" s="181">
        <f>IFERROR(T29/N29,"")</f>
        <v/>
      </c>
      <c r="V29" s="191" t="n">
        <v>0.85</v>
      </c>
      <c r="W29" s="191" t="n"/>
      <c r="X29" s="191" t="n"/>
      <c r="Y29" s="191" t="n"/>
      <c r="Z29" s="191" t="n"/>
      <c r="AA29" s="191" t="n"/>
      <c r="AB29" s="191" t="n"/>
      <c r="AC29" s="193">
        <f>IFERROR(AVERAGE(W29:AB29),"")</f>
        <v/>
      </c>
      <c r="AD29" s="181">
        <f>IFERROR(AC29/V29,"")</f>
        <v/>
      </c>
      <c r="AE29" s="191" t="n">
        <v>0.85</v>
      </c>
      <c r="AF29" s="191" t="n"/>
      <c r="AG29" s="191" t="n"/>
      <c r="AH29" s="191" t="n"/>
      <c r="AI29" s="191" t="n"/>
      <c r="AJ29" s="191" t="n"/>
      <c r="AK29" s="193">
        <f>IFERROR(AVERAGE(AF29:AJ29),"")</f>
        <v/>
      </c>
      <c r="AL29" s="181">
        <f>IFERROR(AK29/AE29,"")</f>
        <v/>
      </c>
      <c r="AM29" s="183">
        <f>IFERROR(AVERAGE(N29,V29,AE29),"")</f>
        <v/>
      </c>
      <c r="AN29" s="183">
        <f>IFERROR(AVERAGE(T29,AC29,AK29),"")</f>
        <v/>
      </c>
      <c r="AO29" s="183">
        <f>IFERROR(AN29/AM29,"")</f>
        <v/>
      </c>
      <c r="AP29" s="191" t="n">
        <v>0.85</v>
      </c>
      <c r="AQ29" s="191" t="n"/>
      <c r="AR29" s="191" t="n"/>
      <c r="AS29" s="191" t="n"/>
      <c r="AT29" s="191" t="n"/>
      <c r="AU29" s="191" t="n"/>
      <c r="AV29" s="193">
        <f>IFERROR(AVERAGE(AQ29:AU29),"")</f>
        <v/>
      </c>
      <c r="AW29" s="181">
        <f>IFERROR(AV29/AP29,"")</f>
        <v/>
      </c>
      <c r="AX29" s="191" t="n">
        <v>0.85</v>
      </c>
      <c r="AY29" s="191" t="n"/>
      <c r="AZ29" s="191" t="n"/>
      <c r="BA29" s="191" t="n"/>
      <c r="BB29" s="191" t="n"/>
      <c r="BC29" s="191" t="n"/>
      <c r="BD29" s="191" t="n"/>
      <c r="BE29" s="193">
        <f>IFERROR(AVERAGE(AY29:BD29),"")</f>
        <v/>
      </c>
      <c r="BF29" s="181">
        <f>IFERROR(BE29/AX29,"")</f>
        <v/>
      </c>
      <c r="BG29" s="191" t="n">
        <v>0.85</v>
      </c>
      <c r="BH29" s="191" t="n"/>
      <c r="BI29" s="191" t="n"/>
      <c r="BJ29" s="191" t="n"/>
      <c r="BK29" s="191" t="n"/>
      <c r="BL29" s="191" t="n"/>
      <c r="BM29" s="193">
        <f>IFERROR(AVERAGE(BH29:BL29),"")</f>
        <v/>
      </c>
      <c r="BN29" s="181">
        <f>IFERROR(BM29/BG29,"")</f>
        <v/>
      </c>
      <c r="BO29" s="183">
        <f>IFERROR(AVERAGE(AP29,AX29,BG29),"")</f>
        <v/>
      </c>
      <c r="BP29" s="183">
        <f>IFERROR(AVERAGE(AV29,BE29,BM29),"")</f>
        <v/>
      </c>
      <c r="BQ29" s="183">
        <f>IFERROR(BP29/BO29,"")</f>
        <v/>
      </c>
      <c r="BR29" s="185">
        <f>IFERROR(AVERAGE(N29,V29,AE29,AP29,AX29,BG29),"")</f>
        <v/>
      </c>
      <c r="BS29" s="185">
        <f>IFERROR(AVERAGE(T29,AC29,AK29,AV29,BE29,BM29),"")</f>
        <v/>
      </c>
      <c r="BT29" s="185">
        <f>IFERROR(BS29/BR29,"")</f>
        <v/>
      </c>
    </row>
    <row r="30">
      <c r="A30" s="175" t="inlineStr">
        <is>
          <t>TECH</t>
        </is>
      </c>
      <c r="B30" s="176" t="inlineStr">
        <is>
          <t>PM</t>
        </is>
      </c>
      <c r="C30" s="177" t="inlineStr">
        <is>
          <t>Blockers ≤24 год</t>
        </is>
      </c>
      <c r="D30" s="178" t="inlineStr">
        <is>
          <t>%</t>
        </is>
      </c>
      <c r="E30" s="178" t="inlineStr">
        <is>
          <t>avg</t>
        </is>
      </c>
      <c r="F30" s="191" t="n">
        <v>0.9</v>
      </c>
      <c r="G30" s="191" t="n"/>
      <c r="H30" s="191" t="n"/>
      <c r="I30" s="191" t="n"/>
      <c r="J30" s="191" t="n"/>
      <c r="K30" s="191" t="n"/>
      <c r="L30" s="193">
        <f>IFERROR(AVERAGE(G30:K30),"")</f>
        <v/>
      </c>
      <c r="M30" s="181">
        <f>IFERROR(L30/F30,"")</f>
        <v/>
      </c>
      <c r="N30" s="191" t="n">
        <v>0.9</v>
      </c>
      <c r="O30" s="191" t="n"/>
      <c r="P30" s="191" t="n"/>
      <c r="Q30" s="191" t="n"/>
      <c r="R30" s="191" t="n"/>
      <c r="S30" s="191" t="n"/>
      <c r="T30" s="193">
        <f>IFERROR(AVERAGE(O30:S30),"")</f>
        <v/>
      </c>
      <c r="U30" s="181">
        <f>IFERROR(T30/N30,"")</f>
        <v/>
      </c>
      <c r="V30" s="191" t="n">
        <v>0.9</v>
      </c>
      <c r="W30" s="191" t="n"/>
      <c r="X30" s="191" t="n"/>
      <c r="Y30" s="191" t="n"/>
      <c r="Z30" s="191" t="n"/>
      <c r="AA30" s="191" t="n"/>
      <c r="AB30" s="191" t="n"/>
      <c r="AC30" s="193">
        <f>IFERROR(AVERAGE(W30:AB30),"")</f>
        <v/>
      </c>
      <c r="AD30" s="181">
        <f>IFERROR(AC30/V30,"")</f>
        <v/>
      </c>
      <c r="AE30" s="191" t="n">
        <v>0.9</v>
      </c>
      <c r="AF30" s="191" t="n"/>
      <c r="AG30" s="191" t="n"/>
      <c r="AH30" s="191" t="n"/>
      <c r="AI30" s="191" t="n"/>
      <c r="AJ30" s="191" t="n"/>
      <c r="AK30" s="193">
        <f>IFERROR(AVERAGE(AF30:AJ30),"")</f>
        <v/>
      </c>
      <c r="AL30" s="181">
        <f>IFERROR(AK30/AE30,"")</f>
        <v/>
      </c>
      <c r="AM30" s="183">
        <f>IFERROR(AVERAGE(N30,V30,AE30),"")</f>
        <v/>
      </c>
      <c r="AN30" s="183">
        <f>IFERROR(AVERAGE(T30,AC30,AK30),"")</f>
        <v/>
      </c>
      <c r="AO30" s="183">
        <f>IFERROR(AN30/AM30,"")</f>
        <v/>
      </c>
      <c r="AP30" s="191" t="n">
        <v>0.9</v>
      </c>
      <c r="AQ30" s="191" t="n"/>
      <c r="AR30" s="191" t="n"/>
      <c r="AS30" s="191" t="n"/>
      <c r="AT30" s="191" t="n"/>
      <c r="AU30" s="191" t="n"/>
      <c r="AV30" s="193">
        <f>IFERROR(AVERAGE(AQ30:AU30),"")</f>
        <v/>
      </c>
      <c r="AW30" s="181">
        <f>IFERROR(AV30/AP30,"")</f>
        <v/>
      </c>
      <c r="AX30" s="191" t="n">
        <v>0.9</v>
      </c>
      <c r="AY30" s="191" t="n"/>
      <c r="AZ30" s="191" t="n"/>
      <c r="BA30" s="191" t="n"/>
      <c r="BB30" s="191" t="n"/>
      <c r="BC30" s="191" t="n"/>
      <c r="BD30" s="191" t="n"/>
      <c r="BE30" s="193">
        <f>IFERROR(AVERAGE(AY30:BD30),"")</f>
        <v/>
      </c>
      <c r="BF30" s="181">
        <f>IFERROR(BE30/AX30,"")</f>
        <v/>
      </c>
      <c r="BG30" s="191" t="n">
        <v>0.9</v>
      </c>
      <c r="BH30" s="191" t="n"/>
      <c r="BI30" s="191" t="n"/>
      <c r="BJ30" s="191" t="n"/>
      <c r="BK30" s="191" t="n"/>
      <c r="BL30" s="191" t="n"/>
      <c r="BM30" s="193">
        <f>IFERROR(AVERAGE(BH30:BL30),"")</f>
        <v/>
      </c>
      <c r="BN30" s="181">
        <f>IFERROR(BM30/BG30,"")</f>
        <v/>
      </c>
      <c r="BO30" s="183">
        <f>IFERROR(AVERAGE(AP30,AX30,BG30),"")</f>
        <v/>
      </c>
      <c r="BP30" s="183">
        <f>IFERROR(AVERAGE(AV30,BE30,BM30),"")</f>
        <v/>
      </c>
      <c r="BQ30" s="183">
        <f>IFERROR(BP30/BO30,"")</f>
        <v/>
      </c>
      <c r="BR30" s="185">
        <f>IFERROR(AVERAGE(N30,V30,AE30,AP30,AX30,BG30),"")</f>
        <v/>
      </c>
      <c r="BS30" s="185">
        <f>IFERROR(AVERAGE(T30,AC30,AK30,AV30,BE30,BM30),"")</f>
        <v/>
      </c>
      <c r="BT30" s="185">
        <f>IFERROR(BS30/BR30,"")</f>
        <v/>
      </c>
    </row>
    <row r="31">
      <c r="A31" s="173" t="inlineStr">
        <is>
          <t>▌ МАРКЕТИНГ</t>
        </is>
      </c>
      <c r="B31" s="174" t="n"/>
      <c r="C31" s="174" t="n"/>
      <c r="D31" s="174" t="n"/>
      <c r="E31" s="174" t="n"/>
      <c r="F31" s="174" t="n"/>
      <c r="G31" s="174" t="n"/>
      <c r="H31" s="174" t="n"/>
      <c r="I31" s="174" t="n"/>
      <c r="J31" s="174" t="n"/>
      <c r="K31" s="174" t="n"/>
      <c r="L31" s="174" t="n"/>
      <c r="M31" s="174" t="n"/>
      <c r="N31" s="174" t="n"/>
      <c r="O31" s="174" t="n"/>
      <c r="P31" s="174" t="n"/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74" t="n"/>
      <c r="Z31" s="174" t="n"/>
      <c r="AA31" s="174" t="n"/>
      <c r="AB31" s="174" t="n"/>
      <c r="AC31" s="174" t="n"/>
      <c r="AD31" s="174" t="n"/>
      <c r="AE31" s="174" t="n"/>
      <c r="AF31" s="174" t="n"/>
      <c r="AG31" s="174" t="n"/>
      <c r="AH31" s="174" t="n"/>
      <c r="AI31" s="174" t="n"/>
      <c r="AJ31" s="174" t="n"/>
      <c r="AK31" s="174" t="n"/>
      <c r="AL31" s="174" t="n"/>
      <c r="AM31" s="174" t="n"/>
      <c r="AN31" s="174" t="n"/>
      <c r="AO31" s="174" t="n"/>
      <c r="AP31" s="174" t="n"/>
      <c r="AQ31" s="174" t="n"/>
      <c r="AR31" s="174" t="n"/>
      <c r="AS31" s="174" t="n"/>
      <c r="AT31" s="174" t="n"/>
      <c r="AU31" s="174" t="n"/>
      <c r="AV31" s="174" t="n"/>
      <c r="AW31" s="174" t="n"/>
      <c r="AX31" s="174" t="n"/>
      <c r="AY31" s="174" t="n"/>
      <c r="AZ31" s="174" t="n"/>
      <c r="BA31" s="174" t="n"/>
      <c r="BB31" s="174" t="n"/>
      <c r="BC31" s="174" t="n"/>
      <c r="BD31" s="174" t="n"/>
      <c r="BE31" s="174" t="n"/>
      <c r="BF31" s="174" t="n"/>
      <c r="BG31" s="174" t="n"/>
      <c r="BH31" s="174" t="n"/>
      <c r="BI31" s="174" t="n"/>
      <c r="BJ31" s="174" t="n"/>
      <c r="BK31" s="174" t="n"/>
      <c r="BL31" s="174" t="n"/>
      <c r="BM31" s="174" t="n"/>
      <c r="BN31" s="174" t="n"/>
      <c r="BO31" s="174" t="n"/>
      <c r="BP31" s="174" t="n"/>
      <c r="BQ31" s="174" t="n"/>
      <c r="BR31" s="174" t="n"/>
      <c r="BS31" s="174" t="n"/>
      <c r="BT31" s="174" t="n"/>
    </row>
    <row r="32">
      <c r="A32" s="175" t="inlineStr">
        <is>
          <t>МАРКЕТИНГ</t>
        </is>
      </c>
      <c r="B32" s="176" t="inlineStr">
        <is>
          <t>Marketing</t>
        </is>
      </c>
      <c r="C32" s="177" t="inlineStr">
        <is>
          <t>Inbound leads (MQL)</t>
        </is>
      </c>
      <c r="D32" s="178" t="inlineStr">
        <is>
          <t>шт</t>
        </is>
      </c>
      <c r="E32" s="178" t="inlineStr">
        <is>
          <t>Σ</t>
        </is>
      </c>
      <c r="F32" s="179" t="n"/>
      <c r="G32" s="198" t="n"/>
      <c r="H32" s="198" t="n"/>
      <c r="I32" s="198" t="n"/>
      <c r="J32" s="198" t="n"/>
      <c r="K32" s="198" t="n"/>
      <c r="L32" s="179" t="n"/>
      <c r="M32" s="181">
        <f>IFERROR(L32/F32,"")</f>
        <v/>
      </c>
      <c r="N32" s="179" t="n"/>
      <c r="O32" s="198" t="n"/>
      <c r="P32" s="198" t="n"/>
      <c r="Q32" s="198" t="n"/>
      <c r="R32" s="198" t="n"/>
      <c r="S32" s="198" t="n"/>
      <c r="T32" s="179" t="n"/>
      <c r="U32" s="181">
        <f>IFERROR(T32/N32,"")</f>
        <v/>
      </c>
      <c r="V32" s="179" t="n"/>
      <c r="W32" s="198" t="n"/>
      <c r="X32" s="198" t="n"/>
      <c r="Y32" s="198" t="n"/>
      <c r="Z32" s="198" t="n"/>
      <c r="AA32" s="198" t="n"/>
      <c r="AB32" s="198" t="n"/>
      <c r="AC32" s="179" t="n"/>
      <c r="AD32" s="181">
        <f>IFERROR(AC32/V32,"")</f>
        <v/>
      </c>
      <c r="AE32" s="179" t="n"/>
      <c r="AF32" s="198" t="n"/>
      <c r="AG32" s="198" t="n"/>
      <c r="AH32" s="198" t="n"/>
      <c r="AI32" s="198" t="n"/>
      <c r="AJ32" s="198" t="n"/>
      <c r="AK32" s="179" t="n"/>
      <c r="AL32" s="181">
        <f>IFERROR(AK32/AE32,"")</f>
        <v/>
      </c>
      <c r="AM32" s="182">
        <f>N32+V32+AE32</f>
        <v/>
      </c>
      <c r="AN32" s="182">
        <f>T32+AC32+AK32</f>
        <v/>
      </c>
      <c r="AO32" s="183">
        <f>IFERROR(AN32/AM32,"")</f>
        <v/>
      </c>
      <c r="AP32" s="179" t="n"/>
      <c r="AQ32" s="198" t="n"/>
      <c r="AR32" s="198" t="n"/>
      <c r="AS32" s="198" t="n"/>
      <c r="AT32" s="198" t="n"/>
      <c r="AU32" s="198" t="n"/>
      <c r="AV32" s="179" t="n"/>
      <c r="AW32" s="181">
        <f>IFERROR(AV32/AP32,"")</f>
        <v/>
      </c>
      <c r="AX32" s="179" t="n"/>
      <c r="AY32" s="198" t="n"/>
      <c r="AZ32" s="198" t="n"/>
      <c r="BA32" s="198" t="n"/>
      <c r="BB32" s="198" t="n"/>
      <c r="BC32" s="198" t="n"/>
      <c r="BD32" s="198" t="n"/>
      <c r="BE32" s="179" t="n"/>
      <c r="BF32" s="181">
        <f>IFERROR(BE32/AX32,"")</f>
        <v/>
      </c>
      <c r="BG32" s="179" t="n"/>
      <c r="BH32" s="198" t="n"/>
      <c r="BI32" s="198" t="n"/>
      <c r="BJ32" s="198" t="n"/>
      <c r="BK32" s="198" t="n"/>
      <c r="BL32" s="198" t="n"/>
      <c r="BM32" s="179" t="n"/>
      <c r="BN32" s="181">
        <f>IFERROR(BM32/BG32,"")</f>
        <v/>
      </c>
      <c r="BO32" s="182">
        <f>AP32+AX32+BG32</f>
        <v/>
      </c>
      <c r="BP32" s="182">
        <f>AV32+BE32+BM32</f>
        <v/>
      </c>
      <c r="BQ32" s="183">
        <f>IFERROR(BP32/BO32,"")</f>
        <v/>
      </c>
      <c r="BR32" s="184">
        <f>N32+V32+AE32+AP32+AX32+BG32</f>
        <v/>
      </c>
      <c r="BS32" s="184">
        <f>T32+AC32+AK32+AV32+BE32+BM32</f>
        <v/>
      </c>
      <c r="BT32" s="185">
        <f>IFERROR(BS32/BR32,"")</f>
        <v/>
      </c>
    </row>
    <row r="33">
      <c r="A33" s="175" t="inlineStr">
        <is>
          <t>МАРКЕТИНГ</t>
        </is>
      </c>
      <c r="B33" s="176" t="inlineStr">
        <is>
          <t>Marketing</t>
        </is>
      </c>
      <c r="C33" s="177" t="inlineStr">
        <is>
          <t>Нові case studies</t>
        </is>
      </c>
      <c r="D33" s="178" t="inlineStr">
        <is>
          <t>шт</t>
        </is>
      </c>
      <c r="E33" s="178" t="inlineStr">
        <is>
          <t>Σ</t>
        </is>
      </c>
      <c r="F33" s="179" t="n"/>
      <c r="G33" s="198" t="n"/>
      <c r="H33" s="198" t="n"/>
      <c r="I33" s="198" t="n"/>
      <c r="J33" s="198" t="n"/>
      <c r="K33" s="198" t="n"/>
      <c r="L33" s="179" t="n"/>
      <c r="M33" s="181">
        <f>IFERROR(L33/F33,"")</f>
        <v/>
      </c>
      <c r="N33" s="179" t="n"/>
      <c r="O33" s="198" t="n"/>
      <c r="P33" s="198" t="n"/>
      <c r="Q33" s="198" t="n"/>
      <c r="R33" s="198" t="n"/>
      <c r="S33" s="198" t="n"/>
      <c r="T33" s="179" t="n"/>
      <c r="U33" s="181">
        <f>IFERROR(T33/N33,"")</f>
        <v/>
      </c>
      <c r="V33" s="179" t="n"/>
      <c r="W33" s="198" t="n"/>
      <c r="X33" s="198" t="n"/>
      <c r="Y33" s="198" t="n"/>
      <c r="Z33" s="198" t="n"/>
      <c r="AA33" s="198" t="n"/>
      <c r="AB33" s="198" t="n"/>
      <c r="AC33" s="179" t="n"/>
      <c r="AD33" s="181">
        <f>IFERROR(AC33/V33,"")</f>
        <v/>
      </c>
      <c r="AE33" s="179" t="n"/>
      <c r="AF33" s="198" t="n"/>
      <c r="AG33" s="198" t="n"/>
      <c r="AH33" s="198" t="n"/>
      <c r="AI33" s="198" t="n"/>
      <c r="AJ33" s="198" t="n"/>
      <c r="AK33" s="179" t="n"/>
      <c r="AL33" s="181">
        <f>IFERROR(AK33/AE33,"")</f>
        <v/>
      </c>
      <c r="AM33" s="182">
        <f>N33+V33+AE33</f>
        <v/>
      </c>
      <c r="AN33" s="182">
        <f>T33+AC33+AK33</f>
        <v/>
      </c>
      <c r="AO33" s="183">
        <f>IFERROR(AN33/AM33,"")</f>
        <v/>
      </c>
      <c r="AP33" s="179" t="n"/>
      <c r="AQ33" s="198" t="n"/>
      <c r="AR33" s="198" t="n"/>
      <c r="AS33" s="198" t="n"/>
      <c r="AT33" s="198" t="n"/>
      <c r="AU33" s="198" t="n"/>
      <c r="AV33" s="179" t="n"/>
      <c r="AW33" s="181">
        <f>IFERROR(AV33/AP33,"")</f>
        <v/>
      </c>
      <c r="AX33" s="179" t="n"/>
      <c r="AY33" s="198" t="n"/>
      <c r="AZ33" s="198" t="n"/>
      <c r="BA33" s="198" t="n"/>
      <c r="BB33" s="198" t="n"/>
      <c r="BC33" s="198" t="n"/>
      <c r="BD33" s="198" t="n"/>
      <c r="BE33" s="179" t="n"/>
      <c r="BF33" s="181">
        <f>IFERROR(BE33/AX33,"")</f>
        <v/>
      </c>
      <c r="BG33" s="179" t="n"/>
      <c r="BH33" s="198" t="n"/>
      <c r="BI33" s="198" t="n"/>
      <c r="BJ33" s="198" t="n"/>
      <c r="BK33" s="198" t="n"/>
      <c r="BL33" s="198" t="n"/>
      <c r="BM33" s="179" t="n"/>
      <c r="BN33" s="181">
        <f>IFERROR(BM33/BG33,"")</f>
        <v/>
      </c>
      <c r="BO33" s="182">
        <f>AP33+AX33+BG33</f>
        <v/>
      </c>
      <c r="BP33" s="182">
        <f>AV33+BE33+BM33</f>
        <v/>
      </c>
      <c r="BQ33" s="183">
        <f>IFERROR(BP33/BO33,"")</f>
        <v/>
      </c>
      <c r="BR33" s="184">
        <f>N33+V33+AE33+AP33+AX33+BG33</f>
        <v/>
      </c>
      <c r="BS33" s="184">
        <f>T33+AC33+AK33+AV33+BE33+BM33</f>
        <v/>
      </c>
      <c r="BT33" s="185">
        <f>IFERROR(BS33/BR33,"")</f>
        <v/>
      </c>
    </row>
    <row r="34">
      <c r="A34" s="173" t="inlineStr">
        <is>
          <t>▌ ГРОШІ</t>
        </is>
      </c>
      <c r="B34" s="174" t="n"/>
      <c r="C34" s="174" t="n"/>
      <c r="D34" s="174" t="n"/>
      <c r="E34" s="174" t="n"/>
      <c r="F34" s="174" t="n"/>
      <c r="G34" s="174" t="n"/>
      <c r="H34" s="174" t="n"/>
      <c r="I34" s="174" t="n"/>
      <c r="J34" s="174" t="n"/>
      <c r="K34" s="174" t="n"/>
      <c r="L34" s="174" t="n"/>
      <c r="M34" s="174" t="n"/>
      <c r="N34" s="174" t="n"/>
      <c r="O34" s="174" t="n"/>
      <c r="P34" s="174" t="n"/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74" t="n"/>
      <c r="Z34" s="174" t="n"/>
      <c r="AA34" s="174" t="n"/>
      <c r="AB34" s="174" t="n"/>
      <c r="AC34" s="174" t="n"/>
      <c r="AD34" s="174" t="n"/>
      <c r="AE34" s="174" t="n"/>
      <c r="AF34" s="174" t="n"/>
      <c r="AG34" s="174" t="n"/>
      <c r="AH34" s="174" t="n"/>
      <c r="AI34" s="174" t="n"/>
      <c r="AJ34" s="174" t="n"/>
      <c r="AK34" s="174" t="n"/>
      <c r="AL34" s="174" t="n"/>
      <c r="AM34" s="174" t="n"/>
      <c r="AN34" s="174" t="n"/>
      <c r="AO34" s="174" t="n"/>
      <c r="AP34" s="174" t="n"/>
      <c r="AQ34" s="174" t="n"/>
      <c r="AR34" s="174" t="n"/>
      <c r="AS34" s="174" t="n"/>
      <c r="AT34" s="174" t="n"/>
      <c r="AU34" s="174" t="n"/>
      <c r="AV34" s="174" t="n"/>
      <c r="AW34" s="174" t="n"/>
      <c r="AX34" s="174" t="n"/>
      <c r="AY34" s="174" t="n"/>
      <c r="AZ34" s="174" t="n"/>
      <c r="BA34" s="174" t="n"/>
      <c r="BB34" s="174" t="n"/>
      <c r="BC34" s="174" t="n"/>
      <c r="BD34" s="174" t="n"/>
      <c r="BE34" s="174" t="n"/>
      <c r="BF34" s="174" t="n"/>
      <c r="BG34" s="174" t="n"/>
      <c r="BH34" s="174" t="n"/>
      <c r="BI34" s="174" t="n"/>
      <c r="BJ34" s="174" t="n"/>
      <c r="BK34" s="174" t="n"/>
      <c r="BL34" s="174" t="n"/>
      <c r="BM34" s="174" t="n"/>
      <c r="BN34" s="174" t="n"/>
      <c r="BO34" s="174" t="n"/>
      <c r="BP34" s="174" t="n"/>
      <c r="BQ34" s="174" t="n"/>
      <c r="BR34" s="174" t="n"/>
      <c r="BS34" s="174" t="n"/>
      <c r="BT34" s="174" t="n"/>
    </row>
    <row r="35">
      <c r="A35" s="175" t="inlineStr">
        <is>
          <t>ГРОШІ</t>
        </is>
      </c>
      <c r="B35" s="176" t="inlineStr">
        <is>
          <t>Finance</t>
        </is>
      </c>
      <c r="C35" s="186" t="inlineStr">
        <is>
          <t>★ Revenue компанія</t>
        </is>
      </c>
      <c r="D35" s="178" t="inlineStr">
        <is>
          <t>$</t>
        </is>
      </c>
      <c r="E35" s="178" t="inlineStr">
        <is>
          <t>Σ</t>
        </is>
      </c>
      <c r="F35" s="187" t="n"/>
      <c r="G35" s="199" t="n"/>
      <c r="H35" s="199" t="n"/>
      <c r="I35" s="199" t="n"/>
      <c r="J35" s="199" t="n"/>
      <c r="K35" s="199" t="n"/>
      <c r="L35" s="187" t="n"/>
      <c r="M35" s="181">
        <f>IFERROR(L35/F35,"")</f>
        <v/>
      </c>
      <c r="N35" s="187" t="n"/>
      <c r="O35" s="199" t="n"/>
      <c r="P35" s="199" t="n"/>
      <c r="Q35" s="199" t="n"/>
      <c r="R35" s="199" t="n"/>
      <c r="S35" s="199" t="n"/>
      <c r="T35" s="187" t="n"/>
      <c r="U35" s="181">
        <f>IFERROR(T35/N35,"")</f>
        <v/>
      </c>
      <c r="V35" s="187" t="n"/>
      <c r="W35" s="199" t="n"/>
      <c r="X35" s="199" t="n"/>
      <c r="Y35" s="199" t="n"/>
      <c r="Z35" s="199" t="n"/>
      <c r="AA35" s="199" t="n"/>
      <c r="AB35" s="199" t="n"/>
      <c r="AC35" s="187" t="n"/>
      <c r="AD35" s="181">
        <f>IFERROR(AC35/V35,"")</f>
        <v/>
      </c>
      <c r="AE35" s="187" t="n"/>
      <c r="AF35" s="199" t="n"/>
      <c r="AG35" s="199" t="n"/>
      <c r="AH35" s="199" t="n"/>
      <c r="AI35" s="199" t="n"/>
      <c r="AJ35" s="199" t="n"/>
      <c r="AK35" s="187" t="n"/>
      <c r="AL35" s="181">
        <f>IFERROR(AK35/AE35,"")</f>
        <v/>
      </c>
      <c r="AM35" s="189">
        <f>N35+V35+AE35</f>
        <v/>
      </c>
      <c r="AN35" s="189">
        <f>T35+AC35+AK35</f>
        <v/>
      </c>
      <c r="AO35" s="183">
        <f>IFERROR(AN35/AM35,"")</f>
        <v/>
      </c>
      <c r="AP35" s="187" t="n"/>
      <c r="AQ35" s="199" t="n"/>
      <c r="AR35" s="199" t="n"/>
      <c r="AS35" s="199" t="n"/>
      <c r="AT35" s="199" t="n"/>
      <c r="AU35" s="199" t="n"/>
      <c r="AV35" s="187" t="n"/>
      <c r="AW35" s="181">
        <f>IFERROR(AV35/AP35,"")</f>
        <v/>
      </c>
      <c r="AX35" s="187" t="n"/>
      <c r="AY35" s="199" t="n"/>
      <c r="AZ35" s="199" t="n"/>
      <c r="BA35" s="199" t="n"/>
      <c r="BB35" s="199" t="n"/>
      <c r="BC35" s="199" t="n"/>
      <c r="BD35" s="199" t="n"/>
      <c r="BE35" s="187" t="n"/>
      <c r="BF35" s="181">
        <f>IFERROR(BE35/AX35,"")</f>
        <v/>
      </c>
      <c r="BG35" s="187" t="n"/>
      <c r="BH35" s="199" t="n"/>
      <c r="BI35" s="199" t="n"/>
      <c r="BJ35" s="199" t="n"/>
      <c r="BK35" s="199" t="n"/>
      <c r="BL35" s="199" t="n"/>
      <c r="BM35" s="187" t="n"/>
      <c r="BN35" s="181">
        <f>IFERROR(BM35/BG35,"")</f>
        <v/>
      </c>
      <c r="BO35" s="189">
        <f>AP35+AX35+BG35</f>
        <v/>
      </c>
      <c r="BP35" s="189">
        <f>AV35+BE35+BM35</f>
        <v/>
      </c>
      <c r="BQ35" s="183">
        <f>IFERROR(BP35/BO35,"")</f>
        <v/>
      </c>
      <c r="BR35" s="190">
        <f>N35+V35+AE35+AP35+AX35+BG35</f>
        <v/>
      </c>
      <c r="BS35" s="190">
        <f>T35+AC35+AK35+AV35+BE35+BM35</f>
        <v/>
      </c>
      <c r="BT35" s="185">
        <f>IFERROR(BS35/BR35,"")</f>
        <v/>
      </c>
    </row>
    <row r="36">
      <c r="A36" s="175" t="inlineStr">
        <is>
          <t>ГРОШІ</t>
        </is>
      </c>
      <c r="B36" s="176" t="inlineStr">
        <is>
          <t>Finance</t>
        </is>
      </c>
      <c r="C36" s="186" t="inlineStr">
        <is>
          <t>★ Cash flow надходження</t>
        </is>
      </c>
      <c r="D36" s="178" t="inlineStr">
        <is>
          <t>$</t>
        </is>
      </c>
      <c r="E36" s="178" t="inlineStr">
        <is>
          <t>Σ</t>
        </is>
      </c>
      <c r="F36" s="187" t="n"/>
      <c r="G36" s="187" t="n"/>
      <c r="H36" s="187" t="n"/>
      <c r="I36" s="187" t="n"/>
      <c r="J36" s="187" t="n"/>
      <c r="K36" s="187" t="n"/>
      <c r="L36" s="188">
        <f>SUM(G36:K36)</f>
        <v/>
      </c>
      <c r="M36" s="181">
        <f>IFERROR(L36/F36,"")</f>
        <v/>
      </c>
      <c r="N36" s="187" t="n"/>
      <c r="O36" s="187" t="n"/>
      <c r="P36" s="187" t="n"/>
      <c r="Q36" s="187" t="n"/>
      <c r="R36" s="187" t="n"/>
      <c r="S36" s="187" t="n"/>
      <c r="T36" s="188">
        <f>SUM(O36:S36)</f>
        <v/>
      </c>
      <c r="U36" s="181">
        <f>IFERROR(T36/N36,"")</f>
        <v/>
      </c>
      <c r="V36" s="187" t="n"/>
      <c r="W36" s="187" t="n"/>
      <c r="X36" s="187" t="n"/>
      <c r="Y36" s="187" t="n"/>
      <c r="Z36" s="187" t="n"/>
      <c r="AA36" s="187" t="n"/>
      <c r="AB36" s="187" t="n"/>
      <c r="AC36" s="188">
        <f>SUM(W36:AB36)</f>
        <v/>
      </c>
      <c r="AD36" s="181">
        <f>IFERROR(AC36/V36,"")</f>
        <v/>
      </c>
      <c r="AE36" s="187" t="n"/>
      <c r="AF36" s="187" t="n"/>
      <c r="AG36" s="187" t="n"/>
      <c r="AH36" s="187" t="n"/>
      <c r="AI36" s="187" t="n"/>
      <c r="AJ36" s="187" t="n"/>
      <c r="AK36" s="188">
        <f>SUM(AF36:AJ36)</f>
        <v/>
      </c>
      <c r="AL36" s="181">
        <f>IFERROR(AK36/AE36,"")</f>
        <v/>
      </c>
      <c r="AM36" s="189">
        <f>N36+V36+AE36</f>
        <v/>
      </c>
      <c r="AN36" s="189">
        <f>T36+AC36+AK36</f>
        <v/>
      </c>
      <c r="AO36" s="183">
        <f>IFERROR(AN36/AM36,"")</f>
        <v/>
      </c>
      <c r="AP36" s="187" t="n"/>
      <c r="AQ36" s="187" t="n"/>
      <c r="AR36" s="187" t="n"/>
      <c r="AS36" s="187" t="n"/>
      <c r="AT36" s="187" t="n"/>
      <c r="AU36" s="187" t="n"/>
      <c r="AV36" s="188">
        <f>SUM(AQ36:AU36)</f>
        <v/>
      </c>
      <c r="AW36" s="181">
        <f>IFERROR(AV36/AP36,"")</f>
        <v/>
      </c>
      <c r="AX36" s="187" t="n"/>
      <c r="AY36" s="187" t="n"/>
      <c r="AZ36" s="187" t="n"/>
      <c r="BA36" s="187" t="n"/>
      <c r="BB36" s="187" t="n"/>
      <c r="BC36" s="187" t="n"/>
      <c r="BD36" s="187" t="n"/>
      <c r="BE36" s="188">
        <f>SUM(AY36:BD36)</f>
        <v/>
      </c>
      <c r="BF36" s="181">
        <f>IFERROR(BE36/AX36,"")</f>
        <v/>
      </c>
      <c r="BG36" s="187" t="n"/>
      <c r="BH36" s="187" t="n"/>
      <c r="BI36" s="187" t="n"/>
      <c r="BJ36" s="187" t="n"/>
      <c r="BK36" s="187" t="n"/>
      <c r="BL36" s="187" t="n"/>
      <c r="BM36" s="188">
        <f>SUM(BH36:BL36)</f>
        <v/>
      </c>
      <c r="BN36" s="181">
        <f>IFERROR(BM36/BG36,"")</f>
        <v/>
      </c>
      <c r="BO36" s="189">
        <f>AP36+AX36+BG36</f>
        <v/>
      </c>
      <c r="BP36" s="189">
        <f>AV36+BE36+BM36</f>
        <v/>
      </c>
      <c r="BQ36" s="183">
        <f>IFERROR(BP36/BO36,"")</f>
        <v/>
      </c>
      <c r="BR36" s="190">
        <f>N36+V36+AE36+AP36+AX36+BG36</f>
        <v/>
      </c>
      <c r="BS36" s="190">
        <f>T36+AC36+AK36+AV36+BE36+BM36</f>
        <v/>
      </c>
      <c r="BT36" s="185">
        <f>IFERROR(BS36/BR36,"")</f>
        <v/>
      </c>
    </row>
    <row r="37">
      <c r="A37" s="175" t="inlineStr">
        <is>
          <t>ГРОШІ</t>
        </is>
      </c>
      <c r="B37" s="176" t="inlineStr">
        <is>
          <t>Finance</t>
        </is>
      </c>
      <c r="C37" s="177" t="inlineStr">
        <is>
          <t>Прострочена дебіторка</t>
        </is>
      </c>
      <c r="D37" s="178" t="inlineStr">
        <is>
          <t>%</t>
        </is>
      </c>
      <c r="E37" s="178" t="inlineStr">
        <is>
          <t>avg</t>
        </is>
      </c>
      <c r="F37" s="191" t="n">
        <v>0.1</v>
      </c>
      <c r="G37" s="191" t="n"/>
      <c r="H37" s="191" t="n"/>
      <c r="I37" s="191" t="n"/>
      <c r="J37" s="191" t="n"/>
      <c r="K37" s="191" t="n"/>
      <c r="L37" s="193">
        <f>IFERROR(AVERAGE(G37:K37),"")</f>
        <v/>
      </c>
      <c r="M37" s="181">
        <f>IFERROR(L37/F37,"")</f>
        <v/>
      </c>
      <c r="N37" s="191" t="n">
        <v>0.1</v>
      </c>
      <c r="O37" s="191" t="n"/>
      <c r="P37" s="191" t="n"/>
      <c r="Q37" s="191" t="n"/>
      <c r="R37" s="191" t="n"/>
      <c r="S37" s="191" t="n"/>
      <c r="T37" s="193">
        <f>IFERROR(AVERAGE(O37:S37),"")</f>
        <v/>
      </c>
      <c r="U37" s="181">
        <f>IFERROR(T37/N37,"")</f>
        <v/>
      </c>
      <c r="V37" s="191" t="n">
        <v>0.1</v>
      </c>
      <c r="W37" s="191" t="n"/>
      <c r="X37" s="191" t="n"/>
      <c r="Y37" s="191" t="n"/>
      <c r="Z37" s="191" t="n"/>
      <c r="AA37" s="191" t="n"/>
      <c r="AB37" s="191" t="n"/>
      <c r="AC37" s="193">
        <f>IFERROR(AVERAGE(W37:AB37),"")</f>
        <v/>
      </c>
      <c r="AD37" s="181">
        <f>IFERROR(AC37/V37,"")</f>
        <v/>
      </c>
      <c r="AE37" s="191" t="n">
        <v>0.1</v>
      </c>
      <c r="AF37" s="191" t="n"/>
      <c r="AG37" s="191" t="n"/>
      <c r="AH37" s="191" t="n"/>
      <c r="AI37" s="191" t="n"/>
      <c r="AJ37" s="191" t="n"/>
      <c r="AK37" s="193">
        <f>IFERROR(AVERAGE(AF37:AJ37),"")</f>
        <v/>
      </c>
      <c r="AL37" s="181">
        <f>IFERROR(AK37/AE37,"")</f>
        <v/>
      </c>
      <c r="AM37" s="183">
        <f>IFERROR(AVERAGE(N37,V37,AE37),"")</f>
        <v/>
      </c>
      <c r="AN37" s="183">
        <f>IFERROR(AVERAGE(T37,AC37,AK37),"")</f>
        <v/>
      </c>
      <c r="AO37" s="183">
        <f>IFERROR(AN37/AM37,"")</f>
        <v/>
      </c>
      <c r="AP37" s="191" t="n">
        <v>0.1</v>
      </c>
      <c r="AQ37" s="191" t="n"/>
      <c r="AR37" s="191" t="n"/>
      <c r="AS37" s="191" t="n"/>
      <c r="AT37" s="191" t="n"/>
      <c r="AU37" s="191" t="n"/>
      <c r="AV37" s="193">
        <f>IFERROR(AVERAGE(AQ37:AU37),"")</f>
        <v/>
      </c>
      <c r="AW37" s="181">
        <f>IFERROR(AV37/AP37,"")</f>
        <v/>
      </c>
      <c r="AX37" s="191" t="n">
        <v>0.1</v>
      </c>
      <c r="AY37" s="191" t="n"/>
      <c r="AZ37" s="191" t="n"/>
      <c r="BA37" s="191" t="n"/>
      <c r="BB37" s="191" t="n"/>
      <c r="BC37" s="191" t="n"/>
      <c r="BD37" s="191" t="n"/>
      <c r="BE37" s="193">
        <f>IFERROR(AVERAGE(AY37:BD37),"")</f>
        <v/>
      </c>
      <c r="BF37" s="181">
        <f>IFERROR(BE37/AX37,"")</f>
        <v/>
      </c>
      <c r="BG37" s="191" t="n">
        <v>0.1</v>
      </c>
      <c r="BH37" s="191" t="n"/>
      <c r="BI37" s="191" t="n"/>
      <c r="BJ37" s="191" t="n"/>
      <c r="BK37" s="191" t="n"/>
      <c r="BL37" s="191" t="n"/>
      <c r="BM37" s="193">
        <f>IFERROR(AVERAGE(BH37:BL37),"")</f>
        <v/>
      </c>
      <c r="BN37" s="181">
        <f>IFERROR(BM37/BG37,"")</f>
        <v/>
      </c>
      <c r="BO37" s="183">
        <f>IFERROR(AVERAGE(AP37,AX37,BG37),"")</f>
        <v/>
      </c>
      <c r="BP37" s="183">
        <f>IFERROR(AVERAGE(AV37,BE37,BM37),"")</f>
        <v/>
      </c>
      <c r="BQ37" s="183">
        <f>IFERROR(BP37/BO37,"")</f>
        <v/>
      </c>
      <c r="BR37" s="185">
        <f>IFERROR(AVERAGE(N37,V37,AE37,AP37,AX37,BG37),"")</f>
        <v/>
      </c>
      <c r="BS37" s="185">
        <f>IFERROR(AVERAGE(T37,AC37,AK37,AV37,BE37,BM37),"")</f>
        <v/>
      </c>
      <c r="BT37" s="185">
        <f>IFERROR(BS37/BR37,"")</f>
        <v/>
      </c>
    </row>
    <row r="38">
      <c r="A38" s="175" t="inlineStr">
        <is>
          <t>ГРОШІ</t>
        </is>
      </c>
      <c r="B38" s="176" t="inlineStr">
        <is>
          <t>Finance</t>
        </is>
      </c>
      <c r="C38" s="186" t="inlineStr">
        <is>
          <t>★ Маржа EBIT компанії</t>
        </is>
      </c>
      <c r="D38" s="178" t="inlineStr">
        <is>
          <t>%</t>
        </is>
      </c>
      <c r="E38" s="178" t="inlineStr">
        <is>
          <t>avg</t>
        </is>
      </c>
      <c r="F38" s="191" t="n">
        <v>0.3</v>
      </c>
      <c r="G38" s="192" t="n"/>
      <c r="H38" s="192" t="n"/>
      <c r="I38" s="192" t="n"/>
      <c r="J38" s="192" t="n"/>
      <c r="K38" s="192" t="n"/>
      <c r="L38" s="191" t="n"/>
      <c r="M38" s="181">
        <f>IFERROR(L38/F38,"")</f>
        <v/>
      </c>
      <c r="N38" s="191" t="n">
        <v>0.3</v>
      </c>
      <c r="O38" s="192" t="n"/>
      <c r="P38" s="192" t="n"/>
      <c r="Q38" s="192" t="n"/>
      <c r="R38" s="192" t="n"/>
      <c r="S38" s="192" t="n"/>
      <c r="T38" s="191" t="n"/>
      <c r="U38" s="181">
        <f>IFERROR(T38/N38,"")</f>
        <v/>
      </c>
      <c r="V38" s="191" t="n">
        <v>0.3</v>
      </c>
      <c r="W38" s="192" t="n"/>
      <c r="X38" s="192" t="n"/>
      <c r="Y38" s="192" t="n"/>
      <c r="Z38" s="192" t="n"/>
      <c r="AA38" s="192" t="n"/>
      <c r="AB38" s="192" t="n"/>
      <c r="AC38" s="191" t="n"/>
      <c r="AD38" s="181">
        <f>IFERROR(AC38/V38,"")</f>
        <v/>
      </c>
      <c r="AE38" s="191" t="n">
        <v>0.3</v>
      </c>
      <c r="AF38" s="192" t="n"/>
      <c r="AG38" s="192" t="n"/>
      <c r="AH38" s="192" t="n"/>
      <c r="AI38" s="192" t="n"/>
      <c r="AJ38" s="192" t="n"/>
      <c r="AK38" s="191" t="n"/>
      <c r="AL38" s="181">
        <f>IFERROR(AK38/AE38,"")</f>
        <v/>
      </c>
      <c r="AM38" s="183">
        <f>IFERROR(AVERAGE(N38,V38,AE38),"")</f>
        <v/>
      </c>
      <c r="AN38" s="183">
        <f>IFERROR(AVERAGE(T38,AC38,AK38),"")</f>
        <v/>
      </c>
      <c r="AO38" s="183">
        <f>IFERROR(AN38/AM38,"")</f>
        <v/>
      </c>
      <c r="AP38" s="191" t="n">
        <v>0.3</v>
      </c>
      <c r="AQ38" s="192" t="n"/>
      <c r="AR38" s="192" t="n"/>
      <c r="AS38" s="192" t="n"/>
      <c r="AT38" s="192" t="n"/>
      <c r="AU38" s="192" t="n"/>
      <c r="AV38" s="191" t="n"/>
      <c r="AW38" s="181">
        <f>IFERROR(AV38/AP38,"")</f>
        <v/>
      </c>
      <c r="AX38" s="191" t="n">
        <v>0.3</v>
      </c>
      <c r="AY38" s="192" t="n"/>
      <c r="AZ38" s="192" t="n"/>
      <c r="BA38" s="192" t="n"/>
      <c r="BB38" s="192" t="n"/>
      <c r="BC38" s="192" t="n"/>
      <c r="BD38" s="192" t="n"/>
      <c r="BE38" s="191" t="n"/>
      <c r="BF38" s="181">
        <f>IFERROR(BE38/AX38,"")</f>
        <v/>
      </c>
      <c r="BG38" s="191" t="n">
        <v>0.3</v>
      </c>
      <c r="BH38" s="192" t="n"/>
      <c r="BI38" s="192" t="n"/>
      <c r="BJ38" s="192" t="n"/>
      <c r="BK38" s="192" t="n"/>
      <c r="BL38" s="192" t="n"/>
      <c r="BM38" s="191" t="n"/>
      <c r="BN38" s="181">
        <f>IFERROR(BM38/BG38,"")</f>
        <v/>
      </c>
      <c r="BO38" s="183">
        <f>IFERROR(AVERAGE(AP38,AX38,BG38),"")</f>
        <v/>
      </c>
      <c r="BP38" s="183">
        <f>IFERROR(AVERAGE(AV38,BE38,BM38),"")</f>
        <v/>
      </c>
      <c r="BQ38" s="183">
        <f>IFERROR(BP38/BO38,"")</f>
        <v/>
      </c>
      <c r="BR38" s="185">
        <f>IFERROR(AVERAGE(N38,V38,AE38,AP38,AX38,BG38),"")</f>
        <v/>
      </c>
      <c r="BS38" s="185">
        <f>IFERROR(AVERAGE(T38,AC38,AK38,AV38,BE38,BM38),"")</f>
        <v/>
      </c>
      <c r="BT38" s="185">
        <f>IFERROR(BS38/BR38,"")</f>
        <v/>
      </c>
    </row>
    <row r="39">
      <c r="A39" s="175" t="inlineStr">
        <is>
          <t>ГРОШІ</t>
        </is>
      </c>
      <c r="B39" s="176" t="inlineStr">
        <is>
          <t>Finance</t>
        </is>
      </c>
      <c r="C39" s="186" t="inlineStr">
        <is>
          <t>★ Runway (ліквідність)</t>
        </is>
      </c>
      <c r="D39" s="178" t="inlineStr">
        <is>
          <t>міс</t>
        </is>
      </c>
      <c r="E39" s="178" t="inlineStr">
        <is>
          <t>avg</t>
        </is>
      </c>
      <c r="F39" s="194" t="n">
        <v>3</v>
      </c>
      <c r="G39" s="195" t="n"/>
      <c r="H39" s="195" t="n"/>
      <c r="I39" s="195" t="n"/>
      <c r="J39" s="195" t="n"/>
      <c r="K39" s="195" t="n"/>
      <c r="L39" s="194" t="n"/>
      <c r="M39" s="181">
        <f>IFERROR(L39/F39,"")</f>
        <v/>
      </c>
      <c r="N39" s="194" t="n">
        <v>3</v>
      </c>
      <c r="O39" s="195" t="n"/>
      <c r="P39" s="195" t="n"/>
      <c r="Q39" s="195" t="n"/>
      <c r="R39" s="195" t="n"/>
      <c r="S39" s="195" t="n"/>
      <c r="T39" s="194" t="n"/>
      <c r="U39" s="181">
        <f>IFERROR(T39/N39,"")</f>
        <v/>
      </c>
      <c r="V39" s="194" t="n">
        <v>3</v>
      </c>
      <c r="W39" s="195" t="n"/>
      <c r="X39" s="195" t="n"/>
      <c r="Y39" s="195" t="n"/>
      <c r="Z39" s="195" t="n"/>
      <c r="AA39" s="195" t="n"/>
      <c r="AB39" s="195" t="n"/>
      <c r="AC39" s="194" t="n"/>
      <c r="AD39" s="181">
        <f>IFERROR(AC39/V39,"")</f>
        <v/>
      </c>
      <c r="AE39" s="194" t="n">
        <v>3</v>
      </c>
      <c r="AF39" s="195" t="n"/>
      <c r="AG39" s="195" t="n"/>
      <c r="AH39" s="195" t="n"/>
      <c r="AI39" s="195" t="n"/>
      <c r="AJ39" s="195" t="n"/>
      <c r="AK39" s="194" t="n"/>
      <c r="AL39" s="181">
        <f>IFERROR(AK39/AE39,"")</f>
        <v/>
      </c>
      <c r="AM39" s="196">
        <f>IFERROR(AVERAGE(N39,V39,AE39),"")</f>
        <v/>
      </c>
      <c r="AN39" s="196">
        <f>IFERROR(AVERAGE(T39,AC39,AK39),"")</f>
        <v/>
      </c>
      <c r="AO39" s="183">
        <f>IFERROR(AN39/AM39,"")</f>
        <v/>
      </c>
      <c r="AP39" s="194" t="n">
        <v>3</v>
      </c>
      <c r="AQ39" s="195" t="n"/>
      <c r="AR39" s="195" t="n"/>
      <c r="AS39" s="195" t="n"/>
      <c r="AT39" s="195" t="n"/>
      <c r="AU39" s="195" t="n"/>
      <c r="AV39" s="194" t="n"/>
      <c r="AW39" s="181">
        <f>IFERROR(AV39/AP39,"")</f>
        <v/>
      </c>
      <c r="AX39" s="194" t="n">
        <v>3</v>
      </c>
      <c r="AY39" s="195" t="n"/>
      <c r="AZ39" s="195" t="n"/>
      <c r="BA39" s="195" t="n"/>
      <c r="BB39" s="195" t="n"/>
      <c r="BC39" s="195" t="n"/>
      <c r="BD39" s="195" t="n"/>
      <c r="BE39" s="194" t="n"/>
      <c r="BF39" s="181">
        <f>IFERROR(BE39/AX39,"")</f>
        <v/>
      </c>
      <c r="BG39" s="194" t="n">
        <v>3</v>
      </c>
      <c r="BH39" s="195" t="n"/>
      <c r="BI39" s="195" t="n"/>
      <c r="BJ39" s="195" t="n"/>
      <c r="BK39" s="195" t="n"/>
      <c r="BL39" s="195" t="n"/>
      <c r="BM39" s="194" t="n"/>
      <c r="BN39" s="181">
        <f>IFERROR(BM39/BG39,"")</f>
        <v/>
      </c>
      <c r="BO39" s="196">
        <f>IFERROR(AVERAGE(AP39,AX39,BG39),"")</f>
        <v/>
      </c>
      <c r="BP39" s="196">
        <f>IFERROR(AVERAGE(AV39,BE39,BM39),"")</f>
        <v/>
      </c>
      <c r="BQ39" s="183">
        <f>IFERROR(BP39/BO39,"")</f>
        <v/>
      </c>
      <c r="BR39" s="197">
        <f>IFERROR(AVERAGE(N39,V39,AE39,AP39,AX39,BG39),"")</f>
        <v/>
      </c>
      <c r="BS39" s="197">
        <f>IFERROR(AVERAGE(T39,AC39,AK39,AV39,BE39,BM39),"")</f>
        <v/>
      </c>
      <c r="BT39" s="185">
        <f>IFERROR(BS39/BR39,"")</f>
        <v/>
      </c>
    </row>
    <row r="40">
      <c r="A40" s="175" t="inlineStr">
        <is>
          <t>ГРОШІ</t>
        </is>
      </c>
      <c r="B40" s="176" t="inlineStr">
        <is>
          <t>Finance</t>
        </is>
      </c>
      <c r="C40" s="177" t="inlineStr">
        <is>
          <t>Бюджет: відхил. план/факт</t>
        </is>
      </c>
      <c r="D40" s="178" t="inlineStr">
        <is>
          <t>%</t>
        </is>
      </c>
      <c r="E40" s="178" t="inlineStr">
        <is>
          <t>avg</t>
        </is>
      </c>
      <c r="F40" s="191" t="n">
        <v>0.1</v>
      </c>
      <c r="G40" s="192" t="n"/>
      <c r="H40" s="192" t="n"/>
      <c r="I40" s="192" t="n"/>
      <c r="J40" s="192" t="n"/>
      <c r="K40" s="192" t="n"/>
      <c r="L40" s="191" t="n"/>
      <c r="M40" s="181">
        <f>IFERROR(L40/F40,"")</f>
        <v/>
      </c>
      <c r="N40" s="191" t="n">
        <v>0.1</v>
      </c>
      <c r="O40" s="192" t="n"/>
      <c r="P40" s="192" t="n"/>
      <c r="Q40" s="192" t="n"/>
      <c r="R40" s="192" t="n"/>
      <c r="S40" s="192" t="n"/>
      <c r="T40" s="191" t="n"/>
      <c r="U40" s="181">
        <f>IFERROR(T40/N40,"")</f>
        <v/>
      </c>
      <c r="V40" s="191" t="n">
        <v>0.1</v>
      </c>
      <c r="W40" s="192" t="n"/>
      <c r="X40" s="192" t="n"/>
      <c r="Y40" s="192" t="n"/>
      <c r="Z40" s="192" t="n"/>
      <c r="AA40" s="192" t="n"/>
      <c r="AB40" s="192" t="n"/>
      <c r="AC40" s="191" t="n"/>
      <c r="AD40" s="181">
        <f>IFERROR(AC40/V40,"")</f>
        <v/>
      </c>
      <c r="AE40" s="191" t="n">
        <v>0.1</v>
      </c>
      <c r="AF40" s="192" t="n"/>
      <c r="AG40" s="192" t="n"/>
      <c r="AH40" s="192" t="n"/>
      <c r="AI40" s="192" t="n"/>
      <c r="AJ40" s="192" t="n"/>
      <c r="AK40" s="191" t="n"/>
      <c r="AL40" s="181">
        <f>IFERROR(AK40/AE40,"")</f>
        <v/>
      </c>
      <c r="AM40" s="183">
        <f>IFERROR(AVERAGE(N40,V40,AE40),"")</f>
        <v/>
      </c>
      <c r="AN40" s="183">
        <f>IFERROR(AVERAGE(T40,AC40,AK40),"")</f>
        <v/>
      </c>
      <c r="AO40" s="183">
        <f>IFERROR(AN40/AM40,"")</f>
        <v/>
      </c>
      <c r="AP40" s="191" t="n">
        <v>0.1</v>
      </c>
      <c r="AQ40" s="192" t="n"/>
      <c r="AR40" s="192" t="n"/>
      <c r="AS40" s="192" t="n"/>
      <c r="AT40" s="192" t="n"/>
      <c r="AU40" s="192" t="n"/>
      <c r="AV40" s="191" t="n"/>
      <c r="AW40" s="181">
        <f>IFERROR(AV40/AP40,"")</f>
        <v/>
      </c>
      <c r="AX40" s="191" t="n">
        <v>0.1</v>
      </c>
      <c r="AY40" s="192" t="n"/>
      <c r="AZ40" s="192" t="n"/>
      <c r="BA40" s="192" t="n"/>
      <c r="BB40" s="192" t="n"/>
      <c r="BC40" s="192" t="n"/>
      <c r="BD40" s="192" t="n"/>
      <c r="BE40" s="191" t="n"/>
      <c r="BF40" s="181">
        <f>IFERROR(BE40/AX40,"")</f>
        <v/>
      </c>
      <c r="BG40" s="191" t="n">
        <v>0.1</v>
      </c>
      <c r="BH40" s="192" t="n"/>
      <c r="BI40" s="192" t="n"/>
      <c r="BJ40" s="192" t="n"/>
      <c r="BK40" s="192" t="n"/>
      <c r="BL40" s="192" t="n"/>
      <c r="BM40" s="191" t="n"/>
      <c r="BN40" s="181">
        <f>IFERROR(BM40/BG40,"")</f>
        <v/>
      </c>
      <c r="BO40" s="183">
        <f>IFERROR(AVERAGE(AP40,AX40,BG40),"")</f>
        <v/>
      </c>
      <c r="BP40" s="183">
        <f>IFERROR(AVERAGE(AV40,BE40,BM40),"")</f>
        <v/>
      </c>
      <c r="BQ40" s="183">
        <f>IFERROR(BP40/BO40,"")</f>
        <v/>
      </c>
      <c r="BR40" s="185">
        <f>IFERROR(AVERAGE(N40,V40,AE40,AP40,AX40,BG40),"")</f>
        <v/>
      </c>
      <c r="BS40" s="185">
        <f>IFERROR(AVERAGE(T40,AC40,AK40,AV40,BE40,BM40),"")</f>
        <v/>
      </c>
      <c r="BT40" s="185">
        <f>IFERROR(BS40/BR40,"")</f>
        <v/>
      </c>
    </row>
    <row r="41">
      <c r="A41" s="173" t="inlineStr">
        <is>
          <t>▌ ЛЮДИ</t>
        </is>
      </c>
      <c r="B41" s="174" t="n"/>
      <c r="C41" s="174" t="n"/>
      <c r="D41" s="174" t="n"/>
      <c r="E41" s="174" t="n"/>
      <c r="F41" s="174" t="n"/>
      <c r="G41" s="174" t="n"/>
      <c r="H41" s="174" t="n"/>
      <c r="I41" s="174" t="n"/>
      <c r="J41" s="174" t="n"/>
      <c r="K41" s="174" t="n"/>
      <c r="L41" s="174" t="n"/>
      <c r="M41" s="174" t="n"/>
      <c r="N41" s="174" t="n"/>
      <c r="O41" s="174" t="n"/>
      <c r="P41" s="174" t="n"/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74" t="n"/>
      <c r="Z41" s="174" t="n"/>
      <c r="AA41" s="174" t="n"/>
      <c r="AB41" s="174" t="n"/>
      <c r="AC41" s="174" t="n"/>
      <c r="AD41" s="174" t="n"/>
      <c r="AE41" s="174" t="n"/>
      <c r="AF41" s="174" t="n"/>
      <c r="AG41" s="174" t="n"/>
      <c r="AH41" s="174" t="n"/>
      <c r="AI41" s="174" t="n"/>
      <c r="AJ41" s="174" t="n"/>
      <c r="AK41" s="174" t="n"/>
      <c r="AL41" s="174" t="n"/>
      <c r="AM41" s="174" t="n"/>
      <c r="AN41" s="174" t="n"/>
      <c r="AO41" s="174" t="n"/>
      <c r="AP41" s="174" t="n"/>
      <c r="AQ41" s="174" t="n"/>
      <c r="AR41" s="174" t="n"/>
      <c r="AS41" s="174" t="n"/>
      <c r="AT41" s="174" t="n"/>
      <c r="AU41" s="174" t="n"/>
      <c r="AV41" s="174" t="n"/>
      <c r="AW41" s="174" t="n"/>
      <c r="AX41" s="174" t="n"/>
      <c r="AY41" s="174" t="n"/>
      <c r="AZ41" s="174" t="n"/>
      <c r="BA41" s="174" t="n"/>
      <c r="BB41" s="174" t="n"/>
      <c r="BC41" s="174" t="n"/>
      <c r="BD41" s="174" t="n"/>
      <c r="BE41" s="174" t="n"/>
      <c r="BF41" s="174" t="n"/>
      <c r="BG41" s="174" t="n"/>
      <c r="BH41" s="174" t="n"/>
      <c r="BI41" s="174" t="n"/>
      <c r="BJ41" s="174" t="n"/>
      <c r="BK41" s="174" t="n"/>
      <c r="BL41" s="174" t="n"/>
      <c r="BM41" s="174" t="n"/>
      <c r="BN41" s="174" t="n"/>
      <c r="BO41" s="174" t="n"/>
      <c r="BP41" s="174" t="n"/>
      <c r="BQ41" s="174" t="n"/>
      <c r="BR41" s="174" t="n"/>
      <c r="BS41" s="174" t="n"/>
      <c r="BT41" s="174" t="n"/>
    </row>
    <row r="42">
      <c r="A42" s="175" t="inlineStr">
        <is>
          <t>ЛЮДИ</t>
        </is>
      </c>
      <c r="B42" s="176" t="inlineStr">
        <is>
          <t>HR</t>
        </is>
      </c>
      <c r="C42" s="177" t="inlineStr">
        <is>
          <t>eNPS команди</t>
        </is>
      </c>
      <c r="D42" s="178" t="inlineStr">
        <is>
          <t>бал</t>
        </is>
      </c>
      <c r="E42" s="178" t="inlineStr">
        <is>
          <t>avg</t>
        </is>
      </c>
      <c r="F42" s="194" t="n">
        <v>7</v>
      </c>
      <c r="G42" s="195" t="n"/>
      <c r="H42" s="195" t="n"/>
      <c r="I42" s="195" t="n"/>
      <c r="J42" s="195" t="n"/>
      <c r="K42" s="195" t="n"/>
      <c r="L42" s="194" t="n"/>
      <c r="M42" s="181">
        <f>IFERROR(L42/F42,"")</f>
        <v/>
      </c>
      <c r="N42" s="194" t="n">
        <v>7</v>
      </c>
      <c r="O42" s="195" t="n"/>
      <c r="P42" s="195" t="n"/>
      <c r="Q42" s="195" t="n"/>
      <c r="R42" s="195" t="n"/>
      <c r="S42" s="195" t="n"/>
      <c r="T42" s="194" t="n"/>
      <c r="U42" s="181">
        <f>IFERROR(T42/N42,"")</f>
        <v/>
      </c>
      <c r="V42" s="194" t="n">
        <v>7</v>
      </c>
      <c r="W42" s="195" t="n"/>
      <c r="X42" s="195" t="n"/>
      <c r="Y42" s="195" t="n"/>
      <c r="Z42" s="195" t="n"/>
      <c r="AA42" s="195" t="n"/>
      <c r="AB42" s="195" t="n"/>
      <c r="AC42" s="194" t="n"/>
      <c r="AD42" s="181">
        <f>IFERROR(AC42/V42,"")</f>
        <v/>
      </c>
      <c r="AE42" s="194" t="n">
        <v>7</v>
      </c>
      <c r="AF42" s="195" t="n"/>
      <c r="AG42" s="195" t="n"/>
      <c r="AH42" s="195" t="n"/>
      <c r="AI42" s="195" t="n"/>
      <c r="AJ42" s="195" t="n"/>
      <c r="AK42" s="194" t="n"/>
      <c r="AL42" s="181">
        <f>IFERROR(AK42/AE42,"")</f>
        <v/>
      </c>
      <c r="AM42" s="196">
        <f>IFERROR(AVERAGE(N42,V42,AE42),"")</f>
        <v/>
      </c>
      <c r="AN42" s="196">
        <f>IFERROR(AVERAGE(T42,AC42,AK42),"")</f>
        <v/>
      </c>
      <c r="AO42" s="183">
        <f>IFERROR(AN42/AM42,"")</f>
        <v/>
      </c>
      <c r="AP42" s="194" t="n">
        <v>7</v>
      </c>
      <c r="AQ42" s="195" t="n"/>
      <c r="AR42" s="195" t="n"/>
      <c r="AS42" s="195" t="n"/>
      <c r="AT42" s="195" t="n"/>
      <c r="AU42" s="195" t="n"/>
      <c r="AV42" s="194" t="n"/>
      <c r="AW42" s="181">
        <f>IFERROR(AV42/AP42,"")</f>
        <v/>
      </c>
      <c r="AX42" s="194" t="n">
        <v>7</v>
      </c>
      <c r="AY42" s="195" t="n"/>
      <c r="AZ42" s="195" t="n"/>
      <c r="BA42" s="195" t="n"/>
      <c r="BB42" s="195" t="n"/>
      <c r="BC42" s="195" t="n"/>
      <c r="BD42" s="195" t="n"/>
      <c r="BE42" s="194" t="n"/>
      <c r="BF42" s="181">
        <f>IFERROR(BE42/AX42,"")</f>
        <v/>
      </c>
      <c r="BG42" s="194" t="n">
        <v>7</v>
      </c>
      <c r="BH42" s="195" t="n"/>
      <c r="BI42" s="195" t="n"/>
      <c r="BJ42" s="195" t="n"/>
      <c r="BK42" s="195" t="n"/>
      <c r="BL42" s="195" t="n"/>
      <c r="BM42" s="194" t="n"/>
      <c r="BN42" s="181">
        <f>IFERROR(BM42/BG42,"")</f>
        <v/>
      </c>
      <c r="BO42" s="196">
        <f>IFERROR(AVERAGE(AP42,AX42,BG42),"")</f>
        <v/>
      </c>
      <c r="BP42" s="196">
        <f>IFERROR(AVERAGE(AV42,BE42,BM42),"")</f>
        <v/>
      </c>
      <c r="BQ42" s="183">
        <f>IFERROR(BP42/BO42,"")</f>
        <v/>
      </c>
      <c r="BR42" s="197">
        <f>IFERROR(AVERAGE(N42,V42,AE42,AP42,AX42,BG42),"")</f>
        <v/>
      </c>
      <c r="BS42" s="197">
        <f>IFERROR(AVERAGE(T42,AC42,AK42,AV42,BE42,BM42),"")</f>
        <v/>
      </c>
      <c r="BT42" s="185">
        <f>IFERROR(BS42/BR42,"")</f>
        <v/>
      </c>
    </row>
    <row r="43">
      <c r="A43" s="175" t="inlineStr">
        <is>
          <t>ЛЮДИ</t>
        </is>
      </c>
      <c r="B43" s="176" t="inlineStr">
        <is>
          <t>HR</t>
        </is>
      </c>
      <c r="C43" s="177" t="inlineStr">
        <is>
          <t>Onboarding ≤3 дні</t>
        </is>
      </c>
      <c r="D43" s="178" t="inlineStr">
        <is>
          <t>%</t>
        </is>
      </c>
      <c r="E43" s="178" t="inlineStr">
        <is>
          <t>avg</t>
        </is>
      </c>
      <c r="F43" s="191" t="n">
        <v>1</v>
      </c>
      <c r="G43" s="192" t="n"/>
      <c r="H43" s="192" t="n"/>
      <c r="I43" s="192" t="n"/>
      <c r="J43" s="192" t="n"/>
      <c r="K43" s="192" t="n"/>
      <c r="L43" s="191" t="n"/>
      <c r="M43" s="181">
        <f>IFERROR(L43/F43,"")</f>
        <v/>
      </c>
      <c r="N43" s="191" t="n">
        <v>1</v>
      </c>
      <c r="O43" s="192" t="n"/>
      <c r="P43" s="192" t="n"/>
      <c r="Q43" s="192" t="n"/>
      <c r="R43" s="192" t="n"/>
      <c r="S43" s="192" t="n"/>
      <c r="T43" s="191" t="n"/>
      <c r="U43" s="181">
        <f>IFERROR(T43/N43,"")</f>
        <v/>
      </c>
      <c r="V43" s="191" t="n">
        <v>1</v>
      </c>
      <c r="W43" s="192" t="n"/>
      <c r="X43" s="192" t="n"/>
      <c r="Y43" s="192" t="n"/>
      <c r="Z43" s="192" t="n"/>
      <c r="AA43" s="192" t="n"/>
      <c r="AB43" s="192" t="n"/>
      <c r="AC43" s="191" t="n"/>
      <c r="AD43" s="181">
        <f>IFERROR(AC43/V43,"")</f>
        <v/>
      </c>
      <c r="AE43" s="191" t="n">
        <v>1</v>
      </c>
      <c r="AF43" s="192" t="n"/>
      <c r="AG43" s="192" t="n"/>
      <c r="AH43" s="192" t="n"/>
      <c r="AI43" s="192" t="n"/>
      <c r="AJ43" s="192" t="n"/>
      <c r="AK43" s="191" t="n"/>
      <c r="AL43" s="181">
        <f>IFERROR(AK43/AE43,"")</f>
        <v/>
      </c>
      <c r="AM43" s="183">
        <f>IFERROR(AVERAGE(N43,V43,AE43),"")</f>
        <v/>
      </c>
      <c r="AN43" s="183">
        <f>IFERROR(AVERAGE(T43,AC43,AK43),"")</f>
        <v/>
      </c>
      <c r="AO43" s="183">
        <f>IFERROR(AN43/AM43,"")</f>
        <v/>
      </c>
      <c r="AP43" s="191" t="n">
        <v>1</v>
      </c>
      <c r="AQ43" s="192" t="n"/>
      <c r="AR43" s="192" t="n"/>
      <c r="AS43" s="192" t="n"/>
      <c r="AT43" s="192" t="n"/>
      <c r="AU43" s="192" t="n"/>
      <c r="AV43" s="191" t="n"/>
      <c r="AW43" s="181">
        <f>IFERROR(AV43/AP43,"")</f>
        <v/>
      </c>
      <c r="AX43" s="191" t="n">
        <v>1</v>
      </c>
      <c r="AY43" s="192" t="n"/>
      <c r="AZ43" s="192" t="n"/>
      <c r="BA43" s="192" t="n"/>
      <c r="BB43" s="192" t="n"/>
      <c r="BC43" s="192" t="n"/>
      <c r="BD43" s="192" t="n"/>
      <c r="BE43" s="191" t="n"/>
      <c r="BF43" s="181">
        <f>IFERROR(BE43/AX43,"")</f>
        <v/>
      </c>
      <c r="BG43" s="191" t="n">
        <v>1</v>
      </c>
      <c r="BH43" s="192" t="n"/>
      <c r="BI43" s="192" t="n"/>
      <c r="BJ43" s="192" t="n"/>
      <c r="BK43" s="192" t="n"/>
      <c r="BL43" s="192" t="n"/>
      <c r="BM43" s="191" t="n"/>
      <c r="BN43" s="181">
        <f>IFERROR(BM43/BG43,"")</f>
        <v/>
      </c>
      <c r="BO43" s="183">
        <f>IFERROR(AVERAGE(AP43,AX43,BG43),"")</f>
        <v/>
      </c>
      <c r="BP43" s="183">
        <f>IFERROR(AVERAGE(AV43,BE43,BM43),"")</f>
        <v/>
      </c>
      <c r="BQ43" s="183">
        <f>IFERROR(BP43/BO43,"")</f>
        <v/>
      </c>
      <c r="BR43" s="185">
        <f>IFERROR(AVERAGE(N43,V43,AE43,AP43,AX43,BG43),"")</f>
        <v/>
      </c>
      <c r="BS43" s="185">
        <f>IFERROR(AVERAGE(T43,AC43,AK43,AV43,BE43,BM43),"")</f>
        <v/>
      </c>
      <c r="BT43" s="185">
        <f>IFERROR(BS43/BR43,"")</f>
        <v/>
      </c>
    </row>
    <row r="44">
      <c r="A44" s="175" t="inlineStr">
        <is>
          <t>ЛЮДИ</t>
        </is>
      </c>
      <c r="B44" s="176" t="inlineStr">
        <is>
          <t>Recruiting</t>
        </is>
      </c>
      <c r="C44" s="177" t="inlineStr">
        <is>
          <t>Закриття вакансій</t>
        </is>
      </c>
      <c r="D44" s="178" t="inlineStr">
        <is>
          <t>дн</t>
        </is>
      </c>
      <c r="E44" s="178" t="inlineStr">
        <is>
          <t>avg</t>
        </is>
      </c>
      <c r="F44" s="179" t="n">
        <v>30</v>
      </c>
      <c r="G44" s="198" t="n"/>
      <c r="H44" s="198" t="n"/>
      <c r="I44" s="198" t="n"/>
      <c r="J44" s="198" t="n"/>
      <c r="K44" s="198" t="n"/>
      <c r="L44" s="179" t="n"/>
      <c r="M44" s="181">
        <f>IFERROR(L44/F44,"")</f>
        <v/>
      </c>
      <c r="N44" s="179" t="n">
        <v>30</v>
      </c>
      <c r="O44" s="198" t="n"/>
      <c r="P44" s="198" t="n"/>
      <c r="Q44" s="198" t="n"/>
      <c r="R44" s="198" t="n"/>
      <c r="S44" s="198" t="n"/>
      <c r="T44" s="179" t="n"/>
      <c r="U44" s="181">
        <f>IFERROR(T44/N44,"")</f>
        <v/>
      </c>
      <c r="V44" s="179" t="n">
        <v>30</v>
      </c>
      <c r="W44" s="198" t="n"/>
      <c r="X44" s="198" t="n"/>
      <c r="Y44" s="198" t="n"/>
      <c r="Z44" s="198" t="n"/>
      <c r="AA44" s="198" t="n"/>
      <c r="AB44" s="198" t="n"/>
      <c r="AC44" s="179" t="n"/>
      <c r="AD44" s="181">
        <f>IFERROR(AC44/V44,"")</f>
        <v/>
      </c>
      <c r="AE44" s="179" t="n">
        <v>30</v>
      </c>
      <c r="AF44" s="198" t="n"/>
      <c r="AG44" s="198" t="n"/>
      <c r="AH44" s="198" t="n"/>
      <c r="AI44" s="198" t="n"/>
      <c r="AJ44" s="198" t="n"/>
      <c r="AK44" s="179" t="n"/>
      <c r="AL44" s="181">
        <f>IFERROR(AK44/AE44,"")</f>
        <v/>
      </c>
      <c r="AM44" s="182">
        <f>IFERROR(AVERAGE(N44,V44,AE44),"")</f>
        <v/>
      </c>
      <c r="AN44" s="182">
        <f>IFERROR(AVERAGE(T44,AC44,AK44),"")</f>
        <v/>
      </c>
      <c r="AO44" s="183">
        <f>IFERROR(AN44/AM44,"")</f>
        <v/>
      </c>
      <c r="AP44" s="179" t="n">
        <v>30</v>
      </c>
      <c r="AQ44" s="198" t="n"/>
      <c r="AR44" s="198" t="n"/>
      <c r="AS44" s="198" t="n"/>
      <c r="AT44" s="198" t="n"/>
      <c r="AU44" s="198" t="n"/>
      <c r="AV44" s="179" t="n"/>
      <c r="AW44" s="181">
        <f>IFERROR(AV44/AP44,"")</f>
        <v/>
      </c>
      <c r="AX44" s="179" t="n">
        <v>30</v>
      </c>
      <c r="AY44" s="198" t="n"/>
      <c r="AZ44" s="198" t="n"/>
      <c r="BA44" s="198" t="n"/>
      <c r="BB44" s="198" t="n"/>
      <c r="BC44" s="198" t="n"/>
      <c r="BD44" s="198" t="n"/>
      <c r="BE44" s="179" t="n"/>
      <c r="BF44" s="181">
        <f>IFERROR(BE44/AX44,"")</f>
        <v/>
      </c>
      <c r="BG44" s="179" t="n">
        <v>30</v>
      </c>
      <c r="BH44" s="198" t="n"/>
      <c r="BI44" s="198" t="n"/>
      <c r="BJ44" s="198" t="n"/>
      <c r="BK44" s="198" t="n"/>
      <c r="BL44" s="198" t="n"/>
      <c r="BM44" s="179" t="n"/>
      <c r="BN44" s="181">
        <f>IFERROR(BM44/BG44,"")</f>
        <v/>
      </c>
      <c r="BO44" s="182">
        <f>IFERROR(AVERAGE(AP44,AX44,BG44),"")</f>
        <v/>
      </c>
      <c r="BP44" s="182">
        <f>IFERROR(AVERAGE(AV44,BE44,BM44),"")</f>
        <v/>
      </c>
      <c r="BQ44" s="183">
        <f>IFERROR(BP44/BO44,"")</f>
        <v/>
      </c>
      <c r="BR44" s="184">
        <f>IFERROR(AVERAGE(N44,V44,AE44,AP44,AX44,BG44),"")</f>
        <v/>
      </c>
      <c r="BS44" s="184">
        <f>IFERROR(AVERAGE(T44,AC44,AK44,AV44,BE44,BM44),"")</f>
        <v/>
      </c>
      <c r="BT44" s="185">
        <f>IFERROR(BS44/BR44,"")</f>
        <v/>
      </c>
    </row>
  </sheetData>
  <mergeCells count="17">
    <mergeCell ref="A21:E21"/>
    <mergeCell ref="A34:E34"/>
    <mergeCell ref="BO3:BQ3"/>
    <mergeCell ref="AE3:AL3"/>
    <mergeCell ref="BR3:BT3"/>
    <mergeCell ref="A31:E31"/>
    <mergeCell ref="F3:M3"/>
    <mergeCell ref="A14:E14"/>
    <mergeCell ref="AP3:AW3"/>
    <mergeCell ref="N3:U3"/>
    <mergeCell ref="BG3:BN3"/>
    <mergeCell ref="A28:E28"/>
    <mergeCell ref="A41:E41"/>
    <mergeCell ref="A5:E5"/>
    <mergeCell ref="V3:AD3"/>
    <mergeCell ref="AX3:BF3"/>
    <mergeCell ref="AM3:A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Q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79" min="1" max="1"/>
    <col width="5" customWidth="1" style="79" min="2" max="2"/>
    <col width="26" customWidth="1" style="79" min="3" max="3"/>
    <col width="8" customWidth="1" style="79" min="4" max="4"/>
    <col width="5" customWidth="1" style="79" min="5" max="5"/>
    <col width="6" customWidth="1" style="79" min="6" max="6"/>
    <col width="4.5" customWidth="1" style="79" min="7" max="9"/>
    <col width="10" customWidth="1" style="79" min="10" max="10"/>
    <col width="4.5" customWidth="1" style="79" min="11" max="14"/>
    <col width="10" customWidth="1" style="79" min="15" max="15"/>
    <col width="4.5" customWidth="1" style="79" min="16" max="20"/>
    <col width="10" customWidth="1" style="79" min="21" max="21"/>
    <col width="4.5" customWidth="1" style="79" min="22" max="25"/>
    <col width="10" customWidth="1" style="79" min="26" max="26"/>
    <col width="4.5" customWidth="1" style="79" min="27" max="30"/>
    <col width="10" customWidth="1" style="79" min="31" max="31"/>
    <col width="4.5" customWidth="1" style="79" min="32" max="36"/>
    <col width="10" customWidth="1" style="79" min="37" max="37"/>
    <col width="4.5" customWidth="1" style="79" min="38" max="41"/>
    <col width="10" customWidth="1" style="79" min="42" max="42"/>
    <col width="11" customWidth="1" style="79" min="43" max="43"/>
  </cols>
  <sheetData>
    <row r="1" ht="24" customHeight="1" s="80">
      <c r="A1" s="81" t="inlineStr">
        <is>
          <t>GIS-POINT  ·  ТИЖНЕВИЙ ПУЛЬС 2026  ·  зони такту W: вписуєш тижневі цифри -&gt; місяць і рік рахуються самі</t>
        </is>
      </c>
    </row>
    <row r="2" ht="21.75" customHeight="1" s="80">
      <c r="A2" s="82" t="inlineStr">
        <is>
          <t>Жовті комірки = ввід (тижневий факт). Зелені = місячний підсумок (формула). Блакитна = разом за 2026. Тип SUM = сума тижнів; AVG = середнє. На зустрічі норму не озвучуємо — тільки відхилення/критичне + блокер.</t>
        </is>
      </c>
    </row>
    <row r="3" ht="45.75" customHeight="1" s="80">
      <c r="A3" s="83" t="inlineStr">
        <is>
          <t>РОЛЬ</t>
        </is>
      </c>
      <c r="B3" s="83" t="inlineStr">
        <is>
          <t>Z#</t>
        </is>
      </c>
      <c r="C3" s="83" t="inlineStr">
        <is>
          <t>МЕТРИКА</t>
        </is>
      </c>
      <c r="D3" s="83" t="inlineStr">
        <is>
          <t>НОРМА</t>
        </is>
      </c>
      <c r="E3" s="83" t="inlineStr">
        <is>
          <t>ОД.</t>
        </is>
      </c>
      <c r="F3" s="83" t="inlineStr">
        <is>
          <t>ТИП</t>
        </is>
      </c>
      <c r="G3" s="94" t="inlineStr">
        <is>
          <t>15.06</t>
        </is>
      </c>
      <c r="H3" s="94" t="inlineStr">
        <is>
          <t>22.06</t>
        </is>
      </c>
      <c r="I3" s="94" t="inlineStr">
        <is>
          <t>29.06</t>
        </is>
      </c>
      <c r="J3" s="84" t="inlineStr">
        <is>
          <t>Червень</t>
        </is>
      </c>
      <c r="K3" s="94" t="inlineStr">
        <is>
          <t>06.07</t>
        </is>
      </c>
      <c r="L3" s="94" t="inlineStr">
        <is>
          <t>13.07</t>
        </is>
      </c>
      <c r="M3" s="94" t="inlineStr">
        <is>
          <t>20.07</t>
        </is>
      </c>
      <c r="N3" s="94" t="inlineStr">
        <is>
          <t>27.07</t>
        </is>
      </c>
      <c r="O3" s="84" t="inlineStr">
        <is>
          <t>Липень</t>
        </is>
      </c>
      <c r="P3" s="94" t="inlineStr">
        <is>
          <t>03.08</t>
        </is>
      </c>
      <c r="Q3" s="94" t="inlineStr">
        <is>
          <t>10.08</t>
        </is>
      </c>
      <c r="R3" s="94" t="inlineStr">
        <is>
          <t>17.08</t>
        </is>
      </c>
      <c r="S3" s="94" t="inlineStr">
        <is>
          <t>24.08</t>
        </is>
      </c>
      <c r="T3" s="94" t="inlineStr">
        <is>
          <t>31.08</t>
        </is>
      </c>
      <c r="U3" s="84" t="inlineStr">
        <is>
          <t>Серпень</t>
        </is>
      </c>
      <c r="V3" s="94" t="inlineStr">
        <is>
          <t>07.09</t>
        </is>
      </c>
      <c r="W3" s="94" t="inlineStr">
        <is>
          <t>14.09</t>
        </is>
      </c>
      <c r="X3" s="94" t="inlineStr">
        <is>
          <t>21.09</t>
        </is>
      </c>
      <c r="Y3" s="94" t="inlineStr">
        <is>
          <t>28.09</t>
        </is>
      </c>
      <c r="Z3" s="84" t="inlineStr">
        <is>
          <t>Вересень</t>
        </is>
      </c>
      <c r="AA3" s="94" t="inlineStr">
        <is>
          <t>05.10</t>
        </is>
      </c>
      <c r="AB3" s="94" t="inlineStr">
        <is>
          <t>12.10</t>
        </is>
      </c>
      <c r="AC3" s="94" t="inlineStr">
        <is>
          <t>19.10</t>
        </is>
      </c>
      <c r="AD3" s="94" t="inlineStr">
        <is>
          <t>26.10</t>
        </is>
      </c>
      <c r="AE3" s="84" t="inlineStr">
        <is>
          <t>Жовтень</t>
        </is>
      </c>
      <c r="AF3" s="94" t="inlineStr">
        <is>
          <t>02.11</t>
        </is>
      </c>
      <c r="AG3" s="94" t="inlineStr">
        <is>
          <t>09.11</t>
        </is>
      </c>
      <c r="AH3" s="94" t="inlineStr">
        <is>
          <t>16.11</t>
        </is>
      </c>
      <c r="AI3" s="94" t="inlineStr">
        <is>
          <t>23.11</t>
        </is>
      </c>
      <c r="AJ3" s="94" t="inlineStr">
        <is>
          <t>30.11</t>
        </is>
      </c>
      <c r="AK3" s="84" t="inlineStr">
        <is>
          <t>Листопад</t>
        </is>
      </c>
      <c r="AL3" s="94" t="inlineStr">
        <is>
          <t>07.12</t>
        </is>
      </c>
      <c r="AM3" s="94" t="inlineStr">
        <is>
          <t>14.12</t>
        </is>
      </c>
      <c r="AN3" s="94" t="inlineStr">
        <is>
          <t>21.12</t>
        </is>
      </c>
      <c r="AO3" s="94" t="inlineStr">
        <is>
          <t>28.12</t>
        </is>
      </c>
      <c r="AP3" s="84" t="inlineStr">
        <is>
          <t>Грудень</t>
        </is>
      </c>
      <c r="AQ3" s="85" t="inlineStr">
        <is>
          <t>2026 РАЗОМ</t>
        </is>
      </c>
    </row>
    <row r="4" ht="25.5" customHeight="1" s="80">
      <c r="A4" s="86" t="inlineStr">
        <is>
          <t>Sales</t>
        </is>
      </c>
      <c r="B4" s="87" t="inlineStr">
        <is>
          <t>Z01</t>
        </is>
      </c>
      <c r="C4" s="88" t="inlineStr">
        <is>
          <t>Пресейл-зустрічі проведено</t>
        </is>
      </c>
      <c r="D4" s="88" t="inlineStr">
        <is>
          <t>≥план</t>
        </is>
      </c>
      <c r="E4" s="87" t="inlineStr">
        <is>
          <t>шт</t>
        </is>
      </c>
      <c r="F4" s="87" t="inlineStr">
        <is>
          <t>SUM</t>
        </is>
      </c>
      <c r="G4" s="95" t="n"/>
      <c r="H4" s="95" t="n"/>
      <c r="I4" s="95" t="n"/>
      <c r="J4" s="89">
        <f>IFERROR(IF($F4="SUM",SUM(G4:I4),AVERAGE(G4:I4)),"")</f>
        <v/>
      </c>
      <c r="K4" s="95" t="n"/>
      <c r="L4" s="95" t="n"/>
      <c r="M4" s="95" t="n"/>
      <c r="N4" s="95" t="n"/>
      <c r="O4" s="89">
        <f>IFERROR(IF($F4="SUM",SUM(K4:N4),AVERAGE(K4:N4)),"")</f>
        <v/>
      </c>
      <c r="P4" s="95" t="n"/>
      <c r="Q4" s="95" t="n"/>
      <c r="R4" s="95" t="n"/>
      <c r="S4" s="95" t="n"/>
      <c r="T4" s="95" t="n"/>
      <c r="U4" s="89">
        <f>IFERROR(IF($F4="SUM",SUM(P4:T4),AVERAGE(P4:T4)),"")</f>
        <v/>
      </c>
      <c r="V4" s="95" t="n"/>
      <c r="W4" s="95" t="n"/>
      <c r="X4" s="95" t="n"/>
      <c r="Y4" s="95" t="n"/>
      <c r="Z4" s="89">
        <f>IFERROR(IF($F4="SUM",SUM(V4:Y4),AVERAGE(V4:Y4)),"")</f>
        <v/>
      </c>
      <c r="AA4" s="95" t="n"/>
      <c r="AB4" s="95" t="n"/>
      <c r="AC4" s="95" t="n"/>
      <c r="AD4" s="95" t="n"/>
      <c r="AE4" s="89">
        <f>IFERROR(IF($F4="SUM",SUM(AA4:AD4),AVERAGE(AA4:AD4)),"")</f>
        <v/>
      </c>
      <c r="AF4" s="95" t="n"/>
      <c r="AG4" s="95" t="n"/>
      <c r="AH4" s="95" t="n"/>
      <c r="AI4" s="95" t="n"/>
      <c r="AJ4" s="95" t="n"/>
      <c r="AK4" s="89">
        <f>IFERROR(IF($F4="SUM",SUM(AF4:AJ4),AVERAGE(AF4:AJ4)),"")</f>
        <v/>
      </c>
      <c r="AL4" s="95" t="n"/>
      <c r="AM4" s="95" t="n"/>
      <c r="AN4" s="95" t="n"/>
      <c r="AO4" s="95" t="n"/>
      <c r="AP4" s="89">
        <f>IFERROR(IF($F4="SUM",SUM(AL4:AO4),AVERAGE(AL4:AO4)),"")</f>
        <v/>
      </c>
      <c r="AQ4" s="90">
        <f>IFERROR(IF($F4="SUM",SUM(J4,O4,U4,Z4,AE4,AK4,AP4),AVERAGE(J4,O4,U4,Z4,AE4,AK4,AP4)),"")</f>
        <v/>
      </c>
    </row>
    <row r="5" ht="25.5" customHeight="1" s="80">
      <c r="A5" s="91" t="inlineStr">
        <is>
          <t>Sales</t>
        </is>
      </c>
      <c r="B5" s="92" t="inlineStr">
        <is>
          <t>Z02</t>
        </is>
      </c>
      <c r="C5" s="93" t="inlineStr">
        <is>
          <t>ТЗ отримано</t>
        </is>
      </c>
      <c r="D5" s="93" t="inlineStr">
        <is>
          <t>≥план</t>
        </is>
      </c>
      <c r="E5" s="92" t="inlineStr">
        <is>
          <t>шт</t>
        </is>
      </c>
      <c r="F5" s="92" t="inlineStr">
        <is>
          <t>SUM</t>
        </is>
      </c>
      <c r="G5" s="95" t="n"/>
      <c r="H5" s="95" t="n"/>
      <c r="I5" s="95" t="n"/>
      <c r="J5" s="89">
        <f>IFERROR(IF($F5="SUM",SUM(G5:I5),AVERAGE(G5:I5)),"")</f>
        <v/>
      </c>
      <c r="K5" s="95" t="n"/>
      <c r="L5" s="95" t="n"/>
      <c r="M5" s="95" t="n"/>
      <c r="N5" s="95" t="n"/>
      <c r="O5" s="89">
        <f>IFERROR(IF($F5="SUM",SUM(K5:N5),AVERAGE(K5:N5)),"")</f>
        <v/>
      </c>
      <c r="P5" s="95" t="n"/>
      <c r="Q5" s="95" t="n"/>
      <c r="R5" s="95" t="n"/>
      <c r="S5" s="95" t="n"/>
      <c r="T5" s="95" t="n"/>
      <c r="U5" s="89">
        <f>IFERROR(IF($F5="SUM",SUM(P5:T5),AVERAGE(P5:T5)),"")</f>
        <v/>
      </c>
      <c r="V5" s="95" t="n"/>
      <c r="W5" s="95" t="n"/>
      <c r="X5" s="95" t="n"/>
      <c r="Y5" s="95" t="n"/>
      <c r="Z5" s="89">
        <f>IFERROR(IF($F5="SUM",SUM(V5:Y5),AVERAGE(V5:Y5)),"")</f>
        <v/>
      </c>
      <c r="AA5" s="95" t="n"/>
      <c r="AB5" s="95" t="n"/>
      <c r="AC5" s="95" t="n"/>
      <c r="AD5" s="95" t="n"/>
      <c r="AE5" s="89">
        <f>IFERROR(IF($F5="SUM",SUM(AA5:AD5),AVERAGE(AA5:AD5)),"")</f>
        <v/>
      </c>
      <c r="AF5" s="95" t="n"/>
      <c r="AG5" s="95" t="n"/>
      <c r="AH5" s="95" t="n"/>
      <c r="AI5" s="95" t="n"/>
      <c r="AJ5" s="95" t="n"/>
      <c r="AK5" s="89">
        <f>IFERROR(IF($F5="SUM",SUM(AF5:AJ5),AVERAGE(AF5:AJ5)),"")</f>
        <v/>
      </c>
      <c r="AL5" s="95" t="n"/>
      <c r="AM5" s="95" t="n"/>
      <c r="AN5" s="95" t="n"/>
      <c r="AO5" s="95" t="n"/>
      <c r="AP5" s="89">
        <f>IFERROR(IF($F5="SUM",SUM(AL5:AO5),AVERAGE(AL5:AO5)),"")</f>
        <v/>
      </c>
      <c r="AQ5" s="90">
        <f>IFERROR(IF($F5="SUM",SUM(J5,O5,U5,Z5,AE5,AK5,AP5),AVERAGE(J5,O5,U5,Z5,AE5,AK5,AP5)),"")</f>
        <v/>
      </c>
    </row>
    <row r="6" ht="25.5" customHeight="1" s="80">
      <c r="A6" s="91" t="inlineStr">
        <is>
          <t>Sales</t>
        </is>
      </c>
      <c r="B6" s="92" t="inlineStr">
        <is>
          <t>Z02</t>
        </is>
      </c>
      <c r="C6" s="93" t="inlineStr">
        <is>
          <t>Пропозицій відправлено</t>
        </is>
      </c>
      <c r="D6" s="93" t="inlineStr">
        <is>
          <t>≥план</t>
        </is>
      </c>
      <c r="E6" s="92" t="inlineStr">
        <is>
          <t>шт</t>
        </is>
      </c>
      <c r="F6" s="92" t="inlineStr">
        <is>
          <t>SUM</t>
        </is>
      </c>
      <c r="G6" s="95" t="n"/>
      <c r="H6" s="95" t="n"/>
      <c r="I6" s="95" t="n"/>
      <c r="J6" s="89">
        <f>IFERROR(IF($F6="SUM",SUM(G6:I6),AVERAGE(G6:I6)),"")</f>
        <v/>
      </c>
      <c r="K6" s="95" t="n"/>
      <c r="L6" s="95" t="n"/>
      <c r="M6" s="95" t="n"/>
      <c r="N6" s="95" t="n"/>
      <c r="O6" s="89">
        <f>IFERROR(IF($F6="SUM",SUM(K6:N6),AVERAGE(K6:N6)),"")</f>
        <v/>
      </c>
      <c r="P6" s="95" t="n"/>
      <c r="Q6" s="95" t="n"/>
      <c r="R6" s="95" t="n"/>
      <c r="S6" s="95" t="n"/>
      <c r="T6" s="95" t="n"/>
      <c r="U6" s="89">
        <f>IFERROR(IF($F6="SUM",SUM(P6:T6),AVERAGE(P6:T6)),"")</f>
        <v/>
      </c>
      <c r="V6" s="95" t="n"/>
      <c r="W6" s="95" t="n"/>
      <c r="X6" s="95" t="n"/>
      <c r="Y6" s="95" t="n"/>
      <c r="Z6" s="89">
        <f>IFERROR(IF($F6="SUM",SUM(V6:Y6),AVERAGE(V6:Y6)),"")</f>
        <v/>
      </c>
      <c r="AA6" s="95" t="n"/>
      <c r="AB6" s="95" t="n"/>
      <c r="AC6" s="95" t="n"/>
      <c r="AD6" s="95" t="n"/>
      <c r="AE6" s="89">
        <f>IFERROR(IF($F6="SUM",SUM(AA6:AD6),AVERAGE(AA6:AD6)),"")</f>
        <v/>
      </c>
      <c r="AF6" s="95" t="n"/>
      <c r="AG6" s="95" t="n"/>
      <c r="AH6" s="95" t="n"/>
      <c r="AI6" s="95" t="n"/>
      <c r="AJ6" s="95" t="n"/>
      <c r="AK6" s="89">
        <f>IFERROR(IF($F6="SUM",SUM(AF6:AJ6),AVERAGE(AF6:AJ6)),"")</f>
        <v/>
      </c>
      <c r="AL6" s="95" t="n"/>
      <c r="AM6" s="95" t="n"/>
      <c r="AN6" s="95" t="n"/>
      <c r="AO6" s="95" t="n"/>
      <c r="AP6" s="89">
        <f>IFERROR(IF($F6="SUM",SUM(AL6:AO6),AVERAGE(AL6:AO6)),"")</f>
        <v/>
      </c>
      <c r="AQ6" s="90">
        <f>IFERROR(IF($F6="SUM",SUM(J6,O6,U6,Z6,AE6,AK6,AP6),AVERAGE(J6,O6,U6,Z6,AE6,AK6,AP6)),"")</f>
        <v/>
      </c>
    </row>
    <row r="7" ht="25.5" customHeight="1" s="80">
      <c r="A7" s="91" t="inlineStr">
        <is>
          <t>Sales</t>
        </is>
      </c>
      <c r="B7" s="92" t="inlineStr">
        <is>
          <t>Z03</t>
        </is>
      </c>
      <c r="C7" s="93" t="inlineStr">
        <is>
          <t>Revenue closed</t>
        </is>
      </c>
      <c r="D7" s="93" t="inlineStr">
        <is>
          <t>≥план</t>
        </is>
      </c>
      <c r="E7" s="92" t="inlineStr">
        <is>
          <t>$</t>
        </is>
      </c>
      <c r="F7" s="92" t="inlineStr">
        <is>
          <t>SUM</t>
        </is>
      </c>
      <c r="G7" s="95" t="n"/>
      <c r="H7" s="95" t="n"/>
      <c r="I7" s="95" t="n"/>
      <c r="J7" s="89">
        <f>IFERROR(IF($F7="SUM",SUM(G7:I7),AVERAGE(G7:I7)),"")</f>
        <v/>
      </c>
      <c r="K7" s="95" t="n"/>
      <c r="L7" s="95" t="n"/>
      <c r="M7" s="95" t="n"/>
      <c r="N7" s="95" t="n"/>
      <c r="O7" s="89">
        <f>IFERROR(IF($F7="SUM",SUM(K7:N7),AVERAGE(K7:N7)),"")</f>
        <v/>
      </c>
      <c r="P7" s="95" t="n"/>
      <c r="Q7" s="95" t="n"/>
      <c r="R7" s="95" t="n"/>
      <c r="S7" s="95" t="n"/>
      <c r="T7" s="95" t="n"/>
      <c r="U7" s="89">
        <f>IFERROR(IF($F7="SUM",SUM(P7:T7),AVERAGE(P7:T7)),"")</f>
        <v/>
      </c>
      <c r="V7" s="95" t="n"/>
      <c r="W7" s="95" t="n"/>
      <c r="X7" s="95" t="n"/>
      <c r="Y7" s="95" t="n"/>
      <c r="Z7" s="89">
        <f>IFERROR(IF($F7="SUM",SUM(V7:Y7),AVERAGE(V7:Y7)),"")</f>
        <v/>
      </c>
      <c r="AA7" s="95" t="n"/>
      <c r="AB7" s="95" t="n"/>
      <c r="AC7" s="95" t="n"/>
      <c r="AD7" s="95" t="n"/>
      <c r="AE7" s="89">
        <f>IFERROR(IF($F7="SUM",SUM(AA7:AD7),AVERAGE(AA7:AD7)),"")</f>
        <v/>
      </c>
      <c r="AF7" s="95" t="n"/>
      <c r="AG7" s="95" t="n"/>
      <c r="AH7" s="95" t="n"/>
      <c r="AI7" s="95" t="n"/>
      <c r="AJ7" s="95" t="n"/>
      <c r="AK7" s="89">
        <f>IFERROR(IF($F7="SUM",SUM(AF7:AJ7),AVERAGE(AF7:AJ7)),"")</f>
        <v/>
      </c>
      <c r="AL7" s="95" t="n"/>
      <c r="AM7" s="95" t="n"/>
      <c r="AN7" s="95" t="n"/>
      <c r="AO7" s="95" t="n"/>
      <c r="AP7" s="89">
        <f>IFERROR(IF($F7="SUM",SUM(AL7:AO7),AVERAGE(AL7:AO7)),"")</f>
        <v/>
      </c>
      <c r="AQ7" s="90">
        <f>IFERROR(IF($F7="SUM",SUM(J7,O7,U7,Z7,AE7,AK7,AP7),AVERAGE(J7,O7,U7,Z7,AE7,AK7,AP7)),"")</f>
        <v/>
      </c>
    </row>
    <row r="8" ht="25.5" customHeight="1" s="80">
      <c r="A8" s="91" t="inlineStr">
        <is>
          <t>Sales</t>
        </is>
      </c>
      <c r="B8" s="92" t="inlineStr">
        <is>
          <t>Z03</t>
        </is>
      </c>
      <c r="C8" s="93" t="inlineStr">
        <is>
          <t>Договорів підписано</t>
        </is>
      </c>
      <c r="D8" s="93" t="inlineStr">
        <is>
          <t>≥план</t>
        </is>
      </c>
      <c r="E8" s="92" t="inlineStr">
        <is>
          <t>шт</t>
        </is>
      </c>
      <c r="F8" s="92" t="inlineStr">
        <is>
          <t>SUM</t>
        </is>
      </c>
      <c r="G8" s="95" t="n"/>
      <c r="H8" s="95" t="n"/>
      <c r="I8" s="95" t="n"/>
      <c r="J8" s="89">
        <f>IFERROR(IF($F8="SUM",SUM(G8:I8),AVERAGE(G8:I8)),"")</f>
        <v/>
      </c>
      <c r="K8" s="95" t="n"/>
      <c r="L8" s="95" t="n"/>
      <c r="M8" s="95" t="n"/>
      <c r="N8" s="95" t="n"/>
      <c r="O8" s="89">
        <f>IFERROR(IF($F8="SUM",SUM(K8:N8),AVERAGE(K8:N8)),"")</f>
        <v/>
      </c>
      <c r="P8" s="95" t="n"/>
      <c r="Q8" s="95" t="n"/>
      <c r="R8" s="95" t="n"/>
      <c r="S8" s="95" t="n"/>
      <c r="T8" s="95" t="n"/>
      <c r="U8" s="89">
        <f>IFERROR(IF($F8="SUM",SUM(P8:T8),AVERAGE(P8:T8)),"")</f>
        <v/>
      </c>
      <c r="V8" s="95" t="n"/>
      <c r="W8" s="95" t="n"/>
      <c r="X8" s="95" t="n"/>
      <c r="Y8" s="95" t="n"/>
      <c r="Z8" s="89">
        <f>IFERROR(IF($F8="SUM",SUM(V8:Y8),AVERAGE(V8:Y8)),"")</f>
        <v/>
      </c>
      <c r="AA8" s="95" t="n"/>
      <c r="AB8" s="95" t="n"/>
      <c r="AC8" s="95" t="n"/>
      <c r="AD8" s="95" t="n"/>
      <c r="AE8" s="89">
        <f>IFERROR(IF($F8="SUM",SUM(AA8:AD8),AVERAGE(AA8:AD8)),"")</f>
        <v/>
      </c>
      <c r="AF8" s="95" t="n"/>
      <c r="AG8" s="95" t="n"/>
      <c r="AH8" s="95" t="n"/>
      <c r="AI8" s="95" t="n"/>
      <c r="AJ8" s="95" t="n"/>
      <c r="AK8" s="89">
        <f>IFERROR(IF($F8="SUM",SUM(AF8:AJ8),AVERAGE(AF8:AJ8)),"")</f>
        <v/>
      </c>
      <c r="AL8" s="95" t="n"/>
      <c r="AM8" s="95" t="n"/>
      <c r="AN8" s="95" t="n"/>
      <c r="AO8" s="95" t="n"/>
      <c r="AP8" s="89">
        <f>IFERROR(IF($F8="SUM",SUM(AL8:AO8),AVERAGE(AL8:AO8)),"")</f>
        <v/>
      </c>
      <c r="AQ8" s="90">
        <f>IFERROR(IF($F8="SUM",SUM(J8,O8,U8,Z8,AE8,AK8,AP8),AVERAGE(J8,O8,U8,Z8,AE8,AK8,AP8)),"")</f>
        <v/>
      </c>
    </row>
    <row r="9" ht="25.5" customHeight="1" s="80">
      <c r="A9" s="91" t="inlineStr">
        <is>
          <t>Sales</t>
        </is>
      </c>
      <c r="B9" s="92" t="inlineStr">
        <is>
          <t>Z04</t>
        </is>
      </c>
      <c r="C9" s="93" t="inlineStr">
        <is>
          <t>CRM актуальна</t>
        </is>
      </c>
      <c r="D9" s="93" t="inlineStr">
        <is>
          <t>100%</t>
        </is>
      </c>
      <c r="E9" s="92" t="inlineStr">
        <is>
          <t>%</t>
        </is>
      </c>
      <c r="F9" s="92" t="inlineStr">
        <is>
          <t>AVG</t>
        </is>
      </c>
      <c r="G9" s="95" t="n"/>
      <c r="H9" s="95" t="n"/>
      <c r="I9" s="95" t="n"/>
      <c r="J9" s="89">
        <f>IFERROR(IF($F9="SUM",SUM(G9:I9),AVERAGE(G9:I9)),"")</f>
        <v/>
      </c>
      <c r="K9" s="95" t="n"/>
      <c r="L9" s="95" t="n"/>
      <c r="M9" s="95" t="n"/>
      <c r="N9" s="95" t="n"/>
      <c r="O9" s="89">
        <f>IFERROR(IF($F9="SUM",SUM(K9:N9),AVERAGE(K9:N9)),"")</f>
        <v/>
      </c>
      <c r="P9" s="95" t="n"/>
      <c r="Q9" s="95" t="n"/>
      <c r="R9" s="95" t="n"/>
      <c r="S9" s="95" t="n"/>
      <c r="T9" s="95" t="n"/>
      <c r="U9" s="89">
        <f>IFERROR(IF($F9="SUM",SUM(P9:T9),AVERAGE(P9:T9)),"")</f>
        <v/>
      </c>
      <c r="V9" s="95" t="n"/>
      <c r="W9" s="95" t="n"/>
      <c r="X9" s="95" t="n"/>
      <c r="Y9" s="95" t="n"/>
      <c r="Z9" s="89">
        <f>IFERROR(IF($F9="SUM",SUM(V9:Y9),AVERAGE(V9:Y9)),"")</f>
        <v/>
      </c>
      <c r="AA9" s="95" t="n"/>
      <c r="AB9" s="95" t="n"/>
      <c r="AC9" s="95" t="n"/>
      <c r="AD9" s="95" t="n"/>
      <c r="AE9" s="89">
        <f>IFERROR(IF($F9="SUM",SUM(AA9:AD9),AVERAGE(AA9:AD9)),"")</f>
        <v/>
      </c>
      <c r="AF9" s="95" t="n"/>
      <c r="AG9" s="95" t="n"/>
      <c r="AH9" s="95" t="n"/>
      <c r="AI9" s="95" t="n"/>
      <c r="AJ9" s="95" t="n"/>
      <c r="AK9" s="89">
        <f>IFERROR(IF($F9="SUM",SUM(AF9:AJ9),AVERAGE(AF9:AJ9)),"")</f>
        <v/>
      </c>
      <c r="AL9" s="95" t="n"/>
      <c r="AM9" s="95" t="n"/>
      <c r="AN9" s="95" t="n"/>
      <c r="AO9" s="95" t="n"/>
      <c r="AP9" s="89">
        <f>IFERROR(IF($F9="SUM",SUM(AL9:AO9),AVERAGE(AL9:AO9)),"")</f>
        <v/>
      </c>
      <c r="AQ9" s="90">
        <f>IFERROR(IF($F9="SUM",SUM(J9,O9,U9,Z9,AE9,AK9,AP9),AVERAGE(J9,O9,U9,Z9,AE9,AK9,AP9)),"")</f>
        <v/>
      </c>
    </row>
    <row r="10" ht="25.5" customHeight="1" s="80">
      <c r="A10" s="86" t="inlineStr">
        <is>
          <t>TL LeadGen</t>
        </is>
      </c>
      <c r="B10" s="87" t="inlineStr">
        <is>
          <t>Z01</t>
        </is>
      </c>
      <c r="C10" s="88" t="inlineStr">
        <is>
          <t>Meetings booked (команда)</t>
        </is>
      </c>
      <c r="D10" s="88" t="inlineStr">
        <is>
          <t>≥план</t>
        </is>
      </c>
      <c r="E10" s="87" t="inlineStr">
        <is>
          <t>шт</t>
        </is>
      </c>
      <c r="F10" s="87" t="inlineStr">
        <is>
          <t>SUM</t>
        </is>
      </c>
      <c r="G10" s="95" t="n"/>
      <c r="H10" s="95" t="n"/>
      <c r="I10" s="95" t="n"/>
      <c r="J10" s="89">
        <f>IFERROR(IF($F10="SUM",SUM(G10:I10),AVERAGE(G10:I10)),"")</f>
        <v/>
      </c>
      <c r="K10" s="95" t="n"/>
      <c r="L10" s="95" t="n"/>
      <c r="M10" s="95" t="n"/>
      <c r="N10" s="95" t="n"/>
      <c r="O10" s="89">
        <f>IFERROR(IF($F10="SUM",SUM(K10:N10),AVERAGE(K10:N10)),"")</f>
        <v/>
      </c>
      <c r="P10" s="95" t="n"/>
      <c r="Q10" s="95" t="n"/>
      <c r="R10" s="95" t="n"/>
      <c r="S10" s="95" t="n"/>
      <c r="T10" s="95" t="n"/>
      <c r="U10" s="89">
        <f>IFERROR(IF($F10="SUM",SUM(P10:T10),AVERAGE(P10:T10)),"")</f>
        <v/>
      </c>
      <c r="V10" s="95" t="n"/>
      <c r="W10" s="95" t="n"/>
      <c r="X10" s="95" t="n"/>
      <c r="Y10" s="95" t="n"/>
      <c r="Z10" s="89">
        <f>IFERROR(IF($F10="SUM",SUM(V10:Y10),AVERAGE(V10:Y10)),"")</f>
        <v/>
      </c>
      <c r="AA10" s="95" t="n"/>
      <c r="AB10" s="95" t="n"/>
      <c r="AC10" s="95" t="n"/>
      <c r="AD10" s="95" t="n"/>
      <c r="AE10" s="89">
        <f>IFERROR(IF($F10="SUM",SUM(AA10:AD10),AVERAGE(AA10:AD10)),"")</f>
        <v/>
      </c>
      <c r="AF10" s="95" t="n"/>
      <c r="AG10" s="95" t="n"/>
      <c r="AH10" s="95" t="n"/>
      <c r="AI10" s="95" t="n"/>
      <c r="AJ10" s="95" t="n"/>
      <c r="AK10" s="89">
        <f>IFERROR(IF($F10="SUM",SUM(AF10:AJ10),AVERAGE(AF10:AJ10)),"")</f>
        <v/>
      </c>
      <c r="AL10" s="95" t="n"/>
      <c r="AM10" s="95" t="n"/>
      <c r="AN10" s="95" t="n"/>
      <c r="AO10" s="95" t="n"/>
      <c r="AP10" s="89">
        <f>IFERROR(IF($F10="SUM",SUM(AL10:AO10),AVERAGE(AL10:AO10)),"")</f>
        <v/>
      </c>
      <c r="AQ10" s="90">
        <f>IFERROR(IF($F10="SUM",SUM(J10,O10,U10,Z10,AE10,AK10,AP10),AVERAGE(J10,O10,U10,Z10,AE10,AK10,AP10)),"")</f>
        <v/>
      </c>
    </row>
    <row r="11" ht="25.5" customHeight="1" s="80">
      <c r="A11" s="91" t="inlineStr">
        <is>
          <t>TL LeadGen</t>
        </is>
      </c>
      <c r="B11" s="92" t="inlineStr">
        <is>
          <t>Z03</t>
        </is>
      </c>
      <c r="C11" s="93" t="inlineStr">
        <is>
          <t>Reply rate</t>
        </is>
      </c>
      <c r="D11" s="93" t="inlineStr">
        <is>
          <t>≥8%</t>
        </is>
      </c>
      <c r="E11" s="92" t="inlineStr">
        <is>
          <t>%</t>
        </is>
      </c>
      <c r="F11" s="92" t="inlineStr">
        <is>
          <t>AVG</t>
        </is>
      </c>
      <c r="G11" s="95" t="n"/>
      <c r="H11" s="95" t="n"/>
      <c r="I11" s="95" t="n"/>
      <c r="J11" s="89">
        <f>IFERROR(IF($F11="SUM",SUM(G11:I11),AVERAGE(G11:I11)),"")</f>
        <v/>
      </c>
      <c r="K11" s="95" t="n"/>
      <c r="L11" s="95" t="n"/>
      <c r="M11" s="95" t="n"/>
      <c r="N11" s="95" t="n"/>
      <c r="O11" s="89">
        <f>IFERROR(IF($F11="SUM",SUM(K11:N11),AVERAGE(K11:N11)),"")</f>
        <v/>
      </c>
      <c r="P11" s="95" t="n"/>
      <c r="Q11" s="95" t="n"/>
      <c r="R11" s="95" t="n"/>
      <c r="S11" s="95" t="n"/>
      <c r="T11" s="95" t="n"/>
      <c r="U11" s="89">
        <f>IFERROR(IF($F11="SUM",SUM(P11:T11),AVERAGE(P11:T11)),"")</f>
        <v/>
      </c>
      <c r="V11" s="95" t="n"/>
      <c r="W11" s="95" t="n"/>
      <c r="X11" s="95" t="n"/>
      <c r="Y11" s="95" t="n"/>
      <c r="Z11" s="89">
        <f>IFERROR(IF($F11="SUM",SUM(V11:Y11),AVERAGE(V11:Y11)),"")</f>
        <v/>
      </c>
      <c r="AA11" s="95" t="n"/>
      <c r="AB11" s="95" t="n"/>
      <c r="AC11" s="95" t="n"/>
      <c r="AD11" s="95" t="n"/>
      <c r="AE11" s="89">
        <f>IFERROR(IF($F11="SUM",SUM(AA11:AD11),AVERAGE(AA11:AD11)),"")</f>
        <v/>
      </c>
      <c r="AF11" s="95" t="n"/>
      <c r="AG11" s="95" t="n"/>
      <c r="AH11" s="95" t="n"/>
      <c r="AI11" s="95" t="n"/>
      <c r="AJ11" s="95" t="n"/>
      <c r="AK11" s="89">
        <f>IFERROR(IF($F11="SUM",SUM(AF11:AJ11),AVERAGE(AF11:AJ11)),"")</f>
        <v/>
      </c>
      <c r="AL11" s="95" t="n"/>
      <c r="AM11" s="95" t="n"/>
      <c r="AN11" s="95" t="n"/>
      <c r="AO11" s="95" t="n"/>
      <c r="AP11" s="89">
        <f>IFERROR(IF($F11="SUM",SUM(AL11:AO11),AVERAGE(AL11:AO11)),"")</f>
        <v/>
      </c>
      <c r="AQ11" s="90">
        <f>IFERROR(IF($F11="SUM",SUM(J11,O11,U11,Z11,AE11,AK11,AP11),AVERAGE(J11,O11,U11,Z11,AE11,AK11,AP11)),"")</f>
        <v/>
      </c>
    </row>
    <row r="12" ht="25.5" customHeight="1" s="80">
      <c r="A12" s="91" t="inlineStr">
        <is>
          <t>TL LeadGen</t>
        </is>
      </c>
      <c r="B12" s="92" t="inlineStr">
        <is>
          <t>Z03</t>
        </is>
      </c>
      <c r="C12" s="93" t="inlineStr">
        <is>
          <t>Bounce rate</t>
        </is>
      </c>
      <c r="D12" s="93" t="inlineStr">
        <is>
          <t>≤3%</t>
        </is>
      </c>
      <c r="E12" s="92" t="inlineStr">
        <is>
          <t>%</t>
        </is>
      </c>
      <c r="F12" s="92" t="inlineStr">
        <is>
          <t>AVG</t>
        </is>
      </c>
      <c r="G12" s="95" t="n"/>
      <c r="H12" s="95" t="n"/>
      <c r="I12" s="95" t="n"/>
      <c r="J12" s="89">
        <f>IFERROR(IF($F12="SUM",SUM(G12:I12),AVERAGE(G12:I12)),"")</f>
        <v/>
      </c>
      <c r="K12" s="95" t="n"/>
      <c r="L12" s="95" t="n"/>
      <c r="M12" s="95" t="n"/>
      <c r="N12" s="95" t="n"/>
      <c r="O12" s="89">
        <f>IFERROR(IF($F12="SUM",SUM(K12:N12),AVERAGE(K12:N12)),"")</f>
        <v/>
      </c>
      <c r="P12" s="95" t="n"/>
      <c r="Q12" s="95" t="n"/>
      <c r="R12" s="95" t="n"/>
      <c r="S12" s="95" t="n"/>
      <c r="T12" s="95" t="n"/>
      <c r="U12" s="89">
        <f>IFERROR(IF($F12="SUM",SUM(P12:T12),AVERAGE(P12:T12)),"")</f>
        <v/>
      </c>
      <c r="V12" s="95" t="n"/>
      <c r="W12" s="95" t="n"/>
      <c r="X12" s="95" t="n"/>
      <c r="Y12" s="95" t="n"/>
      <c r="Z12" s="89">
        <f>IFERROR(IF($F12="SUM",SUM(V12:Y12),AVERAGE(V12:Y12)),"")</f>
        <v/>
      </c>
      <c r="AA12" s="95" t="n"/>
      <c r="AB12" s="95" t="n"/>
      <c r="AC12" s="95" t="n"/>
      <c r="AD12" s="95" t="n"/>
      <c r="AE12" s="89">
        <f>IFERROR(IF($F12="SUM",SUM(AA12:AD12),AVERAGE(AA12:AD12)),"")</f>
        <v/>
      </c>
      <c r="AF12" s="95" t="n"/>
      <c r="AG12" s="95" t="n"/>
      <c r="AH12" s="95" t="n"/>
      <c r="AI12" s="95" t="n"/>
      <c r="AJ12" s="95" t="n"/>
      <c r="AK12" s="89">
        <f>IFERROR(IF($F12="SUM",SUM(AF12:AJ12),AVERAGE(AF12:AJ12)),"")</f>
        <v/>
      </c>
      <c r="AL12" s="95" t="n"/>
      <c r="AM12" s="95" t="n"/>
      <c r="AN12" s="95" t="n"/>
      <c r="AO12" s="95" t="n"/>
      <c r="AP12" s="89">
        <f>IFERROR(IF($F12="SUM",SUM(AL12:AO12),AVERAGE(AL12:AO12)),"")</f>
        <v/>
      </c>
      <c r="AQ12" s="90">
        <f>IFERROR(IF($F12="SUM",SUM(J12,O12,U12,Z12,AE12,AK12,AP12),AVERAGE(J12,O12,U12,Z12,AE12,AK12,AP12)),"")</f>
        <v/>
      </c>
    </row>
    <row r="13" ht="25.5" customHeight="1" s="80">
      <c r="A13" s="91" t="inlineStr">
        <is>
          <t>TL LeadGen</t>
        </is>
      </c>
      <c r="B13" s="92" t="inlineStr">
        <is>
          <t>Z04</t>
        </is>
      </c>
      <c r="C13" s="93" t="inlineStr">
        <is>
          <t>Якість ліда (avg)</t>
        </is>
      </c>
      <c r="D13" s="93" t="inlineStr">
        <is>
          <t>≥4/5</t>
        </is>
      </c>
      <c r="E13" s="92" t="inlineStr">
        <is>
          <t>бал</t>
        </is>
      </c>
      <c r="F13" s="92" t="inlineStr">
        <is>
          <t>AVG</t>
        </is>
      </c>
      <c r="G13" s="95" t="n"/>
      <c r="H13" s="95" t="n"/>
      <c r="I13" s="95" t="n"/>
      <c r="J13" s="89">
        <f>IFERROR(IF($F13="SUM",SUM(G13:I13),AVERAGE(G13:I13)),"")</f>
        <v/>
      </c>
      <c r="K13" s="95" t="n"/>
      <c r="L13" s="95" t="n"/>
      <c r="M13" s="95" t="n"/>
      <c r="N13" s="95" t="n"/>
      <c r="O13" s="89">
        <f>IFERROR(IF($F13="SUM",SUM(K13:N13),AVERAGE(K13:N13)),"")</f>
        <v/>
      </c>
      <c r="P13" s="95" t="n"/>
      <c r="Q13" s="95" t="n"/>
      <c r="R13" s="95" t="n"/>
      <c r="S13" s="95" t="n"/>
      <c r="T13" s="95" t="n"/>
      <c r="U13" s="89">
        <f>IFERROR(IF($F13="SUM",SUM(P13:T13),AVERAGE(P13:T13)),"")</f>
        <v/>
      </c>
      <c r="V13" s="95" t="n"/>
      <c r="W13" s="95" t="n"/>
      <c r="X13" s="95" t="n"/>
      <c r="Y13" s="95" t="n"/>
      <c r="Z13" s="89">
        <f>IFERROR(IF($F13="SUM",SUM(V13:Y13),AVERAGE(V13:Y13)),"")</f>
        <v/>
      </c>
      <c r="AA13" s="95" t="n"/>
      <c r="AB13" s="95" t="n"/>
      <c r="AC13" s="95" t="n"/>
      <c r="AD13" s="95" t="n"/>
      <c r="AE13" s="89">
        <f>IFERROR(IF($F13="SUM",SUM(AA13:AD13),AVERAGE(AA13:AD13)),"")</f>
        <v/>
      </c>
      <c r="AF13" s="95" t="n"/>
      <c r="AG13" s="95" t="n"/>
      <c r="AH13" s="95" t="n"/>
      <c r="AI13" s="95" t="n"/>
      <c r="AJ13" s="95" t="n"/>
      <c r="AK13" s="89">
        <f>IFERROR(IF($F13="SUM",SUM(AF13:AJ13),AVERAGE(AF13:AJ13)),"")</f>
        <v/>
      </c>
      <c r="AL13" s="95" t="n"/>
      <c r="AM13" s="95" t="n"/>
      <c r="AN13" s="95" t="n"/>
      <c r="AO13" s="95" t="n"/>
      <c r="AP13" s="89">
        <f>IFERROR(IF($F13="SUM",SUM(AL13:AO13),AVERAGE(AL13:AO13)),"")</f>
        <v/>
      </c>
      <c r="AQ13" s="90">
        <f>IFERROR(IF($F13="SUM",SUM(J13,O13,U13,Z13,AE13,AK13,AP13),AVERAGE(J13,O13,U13,Z13,AE13,AK13,AP13)),"")</f>
        <v/>
      </c>
    </row>
    <row r="14" ht="25.5" customHeight="1" s="80">
      <c r="A14" s="91" t="inlineStr">
        <is>
          <t>TL LeadGen</t>
        </is>
      </c>
      <c r="B14" s="92" t="inlineStr">
        <is>
          <t>Z05</t>
        </is>
      </c>
      <c r="C14" s="93" t="inlineStr">
        <is>
          <t>Тижневий звіт зданий</t>
        </is>
      </c>
      <c r="D14" s="93" t="inlineStr">
        <is>
          <t>100%</t>
        </is>
      </c>
      <c r="E14" s="92" t="inlineStr">
        <is>
          <t>%</t>
        </is>
      </c>
      <c r="F14" s="92" t="inlineStr">
        <is>
          <t>AVG</t>
        </is>
      </c>
      <c r="G14" s="95" t="n"/>
      <c r="H14" s="95" t="n"/>
      <c r="I14" s="95" t="n"/>
      <c r="J14" s="89">
        <f>IFERROR(IF($F14="SUM",SUM(G14:I14),AVERAGE(G14:I14)),"")</f>
        <v/>
      </c>
      <c r="K14" s="95" t="n"/>
      <c r="L14" s="95" t="n"/>
      <c r="M14" s="95" t="n"/>
      <c r="N14" s="95" t="n"/>
      <c r="O14" s="89">
        <f>IFERROR(IF($F14="SUM",SUM(K14:N14),AVERAGE(K14:N14)),"")</f>
        <v/>
      </c>
      <c r="P14" s="95" t="n"/>
      <c r="Q14" s="95" t="n"/>
      <c r="R14" s="95" t="n"/>
      <c r="S14" s="95" t="n"/>
      <c r="T14" s="95" t="n"/>
      <c r="U14" s="89">
        <f>IFERROR(IF($F14="SUM",SUM(P14:T14),AVERAGE(P14:T14)),"")</f>
        <v/>
      </c>
      <c r="V14" s="95" t="n"/>
      <c r="W14" s="95" t="n"/>
      <c r="X14" s="95" t="n"/>
      <c r="Y14" s="95" t="n"/>
      <c r="Z14" s="89">
        <f>IFERROR(IF($F14="SUM",SUM(V14:Y14),AVERAGE(V14:Y14)),"")</f>
        <v/>
      </c>
      <c r="AA14" s="95" t="n"/>
      <c r="AB14" s="95" t="n"/>
      <c r="AC14" s="95" t="n"/>
      <c r="AD14" s="95" t="n"/>
      <c r="AE14" s="89">
        <f>IFERROR(IF($F14="SUM",SUM(AA14:AD14),AVERAGE(AA14:AD14)),"")</f>
        <v/>
      </c>
      <c r="AF14" s="95" t="n"/>
      <c r="AG14" s="95" t="n"/>
      <c r="AH14" s="95" t="n"/>
      <c r="AI14" s="95" t="n"/>
      <c r="AJ14" s="95" t="n"/>
      <c r="AK14" s="89">
        <f>IFERROR(IF($F14="SUM",SUM(AF14:AJ14),AVERAGE(AF14:AJ14)),"")</f>
        <v/>
      </c>
      <c r="AL14" s="95" t="n"/>
      <c r="AM14" s="95" t="n"/>
      <c r="AN14" s="95" t="n"/>
      <c r="AO14" s="95" t="n"/>
      <c r="AP14" s="89">
        <f>IFERROR(IF($F14="SUM",SUM(AL14:AO14),AVERAGE(AL14:AO14)),"")</f>
        <v/>
      </c>
      <c r="AQ14" s="90">
        <f>IFERROR(IF($F14="SUM",SUM(J14,O14,U14,Z14,AE14,AK14,AP14),AVERAGE(J14,O14,U14,Z14,AE14,AK14,AP14)),"")</f>
        <v/>
      </c>
    </row>
    <row r="15" ht="25.5" customHeight="1" s="80">
      <c r="A15" s="86" t="inlineStr">
        <is>
          <t>Lead gen mgr</t>
        </is>
      </c>
      <c r="B15" s="87" t="inlineStr">
        <is>
          <t>Z01</t>
        </is>
      </c>
      <c r="C15" s="88" t="inlineStr">
        <is>
          <t>Повідомлень відправлено</t>
        </is>
      </c>
      <c r="D15" s="88" t="inlineStr">
        <is>
          <t>≥план</t>
        </is>
      </c>
      <c r="E15" s="87" t="inlineStr">
        <is>
          <t>шт</t>
        </is>
      </c>
      <c r="F15" s="87" t="inlineStr">
        <is>
          <t>SUM</t>
        </is>
      </c>
      <c r="G15" s="95" t="n"/>
      <c r="H15" s="95" t="n"/>
      <c r="I15" s="95" t="n"/>
      <c r="J15" s="89">
        <f>IFERROR(IF($F15="SUM",SUM(G15:I15),AVERAGE(G15:I15)),"")</f>
        <v/>
      </c>
      <c r="K15" s="95" t="n"/>
      <c r="L15" s="95" t="n"/>
      <c r="M15" s="95" t="n"/>
      <c r="N15" s="95" t="n"/>
      <c r="O15" s="89">
        <f>IFERROR(IF($F15="SUM",SUM(K15:N15),AVERAGE(K15:N15)),"")</f>
        <v/>
      </c>
      <c r="P15" s="95" t="n"/>
      <c r="Q15" s="95" t="n"/>
      <c r="R15" s="95" t="n"/>
      <c r="S15" s="95" t="n"/>
      <c r="T15" s="95" t="n"/>
      <c r="U15" s="89">
        <f>IFERROR(IF($F15="SUM",SUM(P15:T15),AVERAGE(P15:T15)),"")</f>
        <v/>
      </c>
      <c r="V15" s="95" t="n"/>
      <c r="W15" s="95" t="n"/>
      <c r="X15" s="95" t="n"/>
      <c r="Y15" s="95" t="n"/>
      <c r="Z15" s="89">
        <f>IFERROR(IF($F15="SUM",SUM(V15:Y15),AVERAGE(V15:Y15)),"")</f>
        <v/>
      </c>
      <c r="AA15" s="95" t="n"/>
      <c r="AB15" s="95" t="n"/>
      <c r="AC15" s="95" t="n"/>
      <c r="AD15" s="95" t="n"/>
      <c r="AE15" s="89">
        <f>IFERROR(IF($F15="SUM",SUM(AA15:AD15),AVERAGE(AA15:AD15)),"")</f>
        <v/>
      </c>
      <c r="AF15" s="95" t="n"/>
      <c r="AG15" s="95" t="n"/>
      <c r="AH15" s="95" t="n"/>
      <c r="AI15" s="95" t="n"/>
      <c r="AJ15" s="95" t="n"/>
      <c r="AK15" s="89">
        <f>IFERROR(IF($F15="SUM",SUM(AF15:AJ15),AVERAGE(AF15:AJ15)),"")</f>
        <v/>
      </c>
      <c r="AL15" s="95" t="n"/>
      <c r="AM15" s="95" t="n"/>
      <c r="AN15" s="95" t="n"/>
      <c r="AO15" s="95" t="n"/>
      <c r="AP15" s="89">
        <f>IFERROR(IF($F15="SUM",SUM(AL15:AO15),AVERAGE(AL15:AO15)),"")</f>
        <v/>
      </c>
      <c r="AQ15" s="90">
        <f>IFERROR(IF($F15="SUM",SUM(J15,O15,U15,Z15,AE15,AK15,AP15),AVERAGE(J15,O15,U15,Z15,AE15,AK15,AP15)),"")</f>
        <v/>
      </c>
    </row>
    <row r="16" ht="25.5" customHeight="1" s="80">
      <c r="A16" s="91" t="inlineStr">
        <is>
          <t>Lead gen mgr</t>
        </is>
      </c>
      <c r="B16" s="92" t="inlineStr">
        <is>
          <t>Z02</t>
        </is>
      </c>
      <c r="C16" s="93" t="inlineStr">
        <is>
          <t>Meetings booked</t>
        </is>
      </c>
      <c r="D16" s="93" t="inlineStr">
        <is>
          <t>≥план</t>
        </is>
      </c>
      <c r="E16" s="92" t="inlineStr">
        <is>
          <t>шт</t>
        </is>
      </c>
      <c r="F16" s="92" t="inlineStr">
        <is>
          <t>SUM</t>
        </is>
      </c>
      <c r="G16" s="95" t="n"/>
      <c r="H16" s="95" t="n"/>
      <c r="I16" s="95" t="n"/>
      <c r="J16" s="89">
        <f>IFERROR(IF($F16="SUM",SUM(G16:I16),AVERAGE(G16:I16)),"")</f>
        <v/>
      </c>
      <c r="K16" s="95" t="n"/>
      <c r="L16" s="95" t="n"/>
      <c r="M16" s="95" t="n"/>
      <c r="N16" s="95" t="n"/>
      <c r="O16" s="89">
        <f>IFERROR(IF($F16="SUM",SUM(K16:N16),AVERAGE(K16:N16)),"")</f>
        <v/>
      </c>
      <c r="P16" s="95" t="n"/>
      <c r="Q16" s="95" t="n"/>
      <c r="R16" s="95" t="n"/>
      <c r="S16" s="95" t="n"/>
      <c r="T16" s="95" t="n"/>
      <c r="U16" s="89">
        <f>IFERROR(IF($F16="SUM",SUM(P16:T16),AVERAGE(P16:T16)),"")</f>
        <v/>
      </c>
      <c r="V16" s="95" t="n"/>
      <c r="W16" s="95" t="n"/>
      <c r="X16" s="95" t="n"/>
      <c r="Y16" s="95" t="n"/>
      <c r="Z16" s="89">
        <f>IFERROR(IF($F16="SUM",SUM(V16:Y16),AVERAGE(V16:Y16)),"")</f>
        <v/>
      </c>
      <c r="AA16" s="95" t="n"/>
      <c r="AB16" s="95" t="n"/>
      <c r="AC16" s="95" t="n"/>
      <c r="AD16" s="95" t="n"/>
      <c r="AE16" s="89">
        <f>IFERROR(IF($F16="SUM",SUM(AA16:AD16),AVERAGE(AA16:AD16)),"")</f>
        <v/>
      </c>
      <c r="AF16" s="95" t="n"/>
      <c r="AG16" s="95" t="n"/>
      <c r="AH16" s="95" t="n"/>
      <c r="AI16" s="95" t="n"/>
      <c r="AJ16" s="95" t="n"/>
      <c r="AK16" s="89">
        <f>IFERROR(IF($F16="SUM",SUM(AF16:AJ16),AVERAGE(AF16:AJ16)),"")</f>
        <v/>
      </c>
      <c r="AL16" s="95" t="n"/>
      <c r="AM16" s="95" t="n"/>
      <c r="AN16" s="95" t="n"/>
      <c r="AO16" s="95" t="n"/>
      <c r="AP16" s="89">
        <f>IFERROR(IF($F16="SUM",SUM(AL16:AO16),AVERAGE(AL16:AO16)),"")</f>
        <v/>
      </c>
      <c r="AQ16" s="90">
        <f>IFERROR(IF($F16="SUM",SUM(J16,O16,U16,Z16,AE16,AK16,AP16),AVERAGE(J16,O16,U16,Z16,AE16,AK16,AP16)),"")</f>
        <v/>
      </c>
    </row>
    <row r="17" ht="25.5" customHeight="1" s="80">
      <c r="A17" s="91" t="inlineStr">
        <is>
          <t>Lead gen mgr</t>
        </is>
      </c>
      <c r="B17" s="92" t="inlineStr">
        <is>
          <t>Z03</t>
        </is>
      </c>
      <c r="C17" s="93" t="inlineStr">
        <is>
          <t>Bounce rate</t>
        </is>
      </c>
      <c r="D17" s="93" t="inlineStr">
        <is>
          <t>≤3%</t>
        </is>
      </c>
      <c r="E17" s="92" t="inlineStr">
        <is>
          <t>%</t>
        </is>
      </c>
      <c r="F17" s="92" t="inlineStr">
        <is>
          <t>AVG</t>
        </is>
      </c>
      <c r="G17" s="95" t="n"/>
      <c r="H17" s="95" t="n"/>
      <c r="I17" s="95" t="n"/>
      <c r="J17" s="89">
        <f>IFERROR(IF($F17="SUM",SUM(G17:I17),AVERAGE(G17:I17)),"")</f>
        <v/>
      </c>
      <c r="K17" s="95" t="n"/>
      <c r="L17" s="95" t="n"/>
      <c r="M17" s="95" t="n"/>
      <c r="N17" s="95" t="n"/>
      <c r="O17" s="89">
        <f>IFERROR(IF($F17="SUM",SUM(K17:N17),AVERAGE(K17:N17)),"")</f>
        <v/>
      </c>
      <c r="P17" s="95" t="n"/>
      <c r="Q17" s="95" t="n"/>
      <c r="R17" s="95" t="n"/>
      <c r="S17" s="95" t="n"/>
      <c r="T17" s="95" t="n"/>
      <c r="U17" s="89">
        <f>IFERROR(IF($F17="SUM",SUM(P17:T17),AVERAGE(P17:T17)),"")</f>
        <v/>
      </c>
      <c r="V17" s="95" t="n"/>
      <c r="W17" s="95" t="n"/>
      <c r="X17" s="95" t="n"/>
      <c r="Y17" s="95" t="n"/>
      <c r="Z17" s="89">
        <f>IFERROR(IF($F17="SUM",SUM(V17:Y17),AVERAGE(V17:Y17)),"")</f>
        <v/>
      </c>
      <c r="AA17" s="95" t="n"/>
      <c r="AB17" s="95" t="n"/>
      <c r="AC17" s="95" t="n"/>
      <c r="AD17" s="95" t="n"/>
      <c r="AE17" s="89">
        <f>IFERROR(IF($F17="SUM",SUM(AA17:AD17),AVERAGE(AA17:AD17)),"")</f>
        <v/>
      </c>
      <c r="AF17" s="95" t="n"/>
      <c r="AG17" s="95" t="n"/>
      <c r="AH17" s="95" t="n"/>
      <c r="AI17" s="95" t="n"/>
      <c r="AJ17" s="95" t="n"/>
      <c r="AK17" s="89">
        <f>IFERROR(IF($F17="SUM",SUM(AF17:AJ17),AVERAGE(AF17:AJ17)),"")</f>
        <v/>
      </c>
      <c r="AL17" s="95" t="n"/>
      <c r="AM17" s="95" t="n"/>
      <c r="AN17" s="95" t="n"/>
      <c r="AO17" s="95" t="n"/>
      <c r="AP17" s="89">
        <f>IFERROR(IF($F17="SUM",SUM(AL17:AO17),AVERAGE(AL17:AO17)),"")</f>
        <v/>
      </c>
      <c r="AQ17" s="90">
        <f>IFERROR(IF($F17="SUM",SUM(J17,O17,U17,Z17,AE17,AK17,AP17),AVERAGE(J17,O17,U17,Z17,AE17,AK17,AP17)),"")</f>
        <v/>
      </c>
    </row>
    <row r="18" ht="25.5" customHeight="1" s="80">
      <c r="A18" s="86" t="inlineStr">
        <is>
          <t>Head of Delivery</t>
        </is>
      </c>
      <c r="B18" s="87" t="inlineStr">
        <is>
          <t>Z01</t>
        </is>
      </c>
      <c r="C18" s="88" t="inlineStr">
        <is>
          <t>Проекти в строк</t>
        </is>
      </c>
      <c r="D18" s="88" t="inlineStr">
        <is>
          <t>≥85%</t>
        </is>
      </c>
      <c r="E18" s="87" t="inlineStr">
        <is>
          <t>%</t>
        </is>
      </c>
      <c r="F18" s="87" t="inlineStr">
        <is>
          <t>AVG</t>
        </is>
      </c>
      <c r="G18" s="95" t="n"/>
      <c r="H18" s="95" t="n"/>
      <c r="I18" s="95" t="n"/>
      <c r="J18" s="89">
        <f>IFERROR(IF($F18="SUM",SUM(G18:I18),AVERAGE(G18:I18)),"")</f>
        <v/>
      </c>
      <c r="K18" s="95" t="n"/>
      <c r="L18" s="95" t="n"/>
      <c r="M18" s="95" t="n"/>
      <c r="N18" s="95" t="n"/>
      <c r="O18" s="89">
        <f>IFERROR(IF($F18="SUM",SUM(K18:N18),AVERAGE(K18:N18)),"")</f>
        <v/>
      </c>
      <c r="P18" s="95" t="n"/>
      <c r="Q18" s="95" t="n"/>
      <c r="R18" s="95" t="n"/>
      <c r="S18" s="95" t="n"/>
      <c r="T18" s="95" t="n"/>
      <c r="U18" s="89">
        <f>IFERROR(IF($F18="SUM",SUM(P18:T18),AVERAGE(P18:T18)),"")</f>
        <v/>
      </c>
      <c r="V18" s="95" t="n"/>
      <c r="W18" s="95" t="n"/>
      <c r="X18" s="95" t="n"/>
      <c r="Y18" s="95" t="n"/>
      <c r="Z18" s="89">
        <f>IFERROR(IF($F18="SUM",SUM(V18:Y18),AVERAGE(V18:Y18)),"")</f>
        <v/>
      </c>
      <c r="AA18" s="95" t="n"/>
      <c r="AB18" s="95" t="n"/>
      <c r="AC18" s="95" t="n"/>
      <c r="AD18" s="95" t="n"/>
      <c r="AE18" s="89">
        <f>IFERROR(IF($F18="SUM",SUM(AA18:AD18),AVERAGE(AA18:AD18)),"")</f>
        <v/>
      </c>
      <c r="AF18" s="95" t="n"/>
      <c r="AG18" s="95" t="n"/>
      <c r="AH18" s="95" t="n"/>
      <c r="AI18" s="95" t="n"/>
      <c r="AJ18" s="95" t="n"/>
      <c r="AK18" s="89">
        <f>IFERROR(IF($F18="SUM",SUM(AF18:AJ18),AVERAGE(AF18:AJ18)),"")</f>
        <v/>
      </c>
      <c r="AL18" s="95" t="n"/>
      <c r="AM18" s="95" t="n"/>
      <c r="AN18" s="95" t="n"/>
      <c r="AO18" s="95" t="n"/>
      <c r="AP18" s="89">
        <f>IFERROR(IF($F18="SUM",SUM(AL18:AO18),AVERAGE(AL18:AO18)),"")</f>
        <v/>
      </c>
      <c r="AQ18" s="90">
        <f>IFERROR(IF($F18="SUM",SUM(J18,O18,U18,Z18,AE18,AK18,AP18),AVERAGE(J18,O18,U18,Z18,AE18,AK18,AP18)),"")</f>
        <v/>
      </c>
    </row>
    <row r="19" ht="25.5" customHeight="1" s="80">
      <c r="A19" s="91" t="inlineStr">
        <is>
          <t>Head of Delivery</t>
        </is>
      </c>
      <c r="B19" s="92" t="inlineStr">
        <is>
          <t>Z03</t>
        </is>
      </c>
      <c r="C19" s="93" t="inlineStr">
        <is>
          <t>Utilization</t>
        </is>
      </c>
      <c r="D19" s="93" t="inlineStr">
        <is>
          <t>75–90%</t>
        </is>
      </c>
      <c r="E19" s="92" t="inlineStr">
        <is>
          <t>%</t>
        </is>
      </c>
      <c r="F19" s="92" t="inlineStr">
        <is>
          <t>AVG</t>
        </is>
      </c>
      <c r="G19" s="95" t="n"/>
      <c r="H19" s="95" t="n"/>
      <c r="I19" s="95" t="n"/>
      <c r="J19" s="89">
        <f>IFERROR(IF($F19="SUM",SUM(G19:I19),AVERAGE(G19:I19)),"")</f>
        <v/>
      </c>
      <c r="K19" s="95" t="n"/>
      <c r="L19" s="95" t="n"/>
      <c r="M19" s="95" t="n"/>
      <c r="N19" s="95" t="n"/>
      <c r="O19" s="89">
        <f>IFERROR(IF($F19="SUM",SUM(K19:N19),AVERAGE(K19:N19)),"")</f>
        <v/>
      </c>
      <c r="P19" s="95" t="n"/>
      <c r="Q19" s="95" t="n"/>
      <c r="R19" s="95" t="n"/>
      <c r="S19" s="95" t="n"/>
      <c r="T19" s="95" t="n"/>
      <c r="U19" s="89">
        <f>IFERROR(IF($F19="SUM",SUM(P19:T19),AVERAGE(P19:T19)),"")</f>
        <v/>
      </c>
      <c r="V19" s="95" t="n"/>
      <c r="W19" s="95" t="n"/>
      <c r="X19" s="95" t="n"/>
      <c r="Y19" s="95" t="n"/>
      <c r="Z19" s="89">
        <f>IFERROR(IF($F19="SUM",SUM(V19:Y19),AVERAGE(V19:Y19)),"")</f>
        <v/>
      </c>
      <c r="AA19" s="95" t="n"/>
      <c r="AB19" s="95" t="n"/>
      <c r="AC19" s="95" t="n"/>
      <c r="AD19" s="95" t="n"/>
      <c r="AE19" s="89">
        <f>IFERROR(IF($F19="SUM",SUM(AA19:AD19),AVERAGE(AA19:AD19)),"")</f>
        <v/>
      </c>
      <c r="AF19" s="95" t="n"/>
      <c r="AG19" s="95" t="n"/>
      <c r="AH19" s="95" t="n"/>
      <c r="AI19" s="95" t="n"/>
      <c r="AJ19" s="95" t="n"/>
      <c r="AK19" s="89">
        <f>IFERROR(IF($F19="SUM",SUM(AF19:AJ19),AVERAGE(AF19:AJ19)),"")</f>
        <v/>
      </c>
      <c r="AL19" s="95" t="n"/>
      <c r="AM19" s="95" t="n"/>
      <c r="AN19" s="95" t="n"/>
      <c r="AO19" s="95" t="n"/>
      <c r="AP19" s="89">
        <f>IFERROR(IF($F19="SUM",SUM(AL19:AO19),AVERAGE(AL19:AO19)),"")</f>
        <v/>
      </c>
      <c r="AQ19" s="90">
        <f>IFERROR(IF($F19="SUM",SUM(J19,O19,U19,Z19,AE19,AK19,AP19),AVERAGE(J19,O19,U19,Z19,AE19,AK19,AP19)),"")</f>
        <v/>
      </c>
    </row>
    <row r="20" ht="25.5" customHeight="1" s="80">
      <c r="A20" s="91" t="inlineStr">
        <is>
          <t>Head of Delivery</t>
        </is>
      </c>
      <c r="B20" s="92" t="inlineStr">
        <is>
          <t>Z09</t>
        </is>
      </c>
      <c r="C20" s="93" t="inlineStr">
        <is>
          <t>Оцінки надано ≤48 год</t>
        </is>
      </c>
      <c r="D20" s="93" t="inlineStr">
        <is>
          <t>≥90%</t>
        </is>
      </c>
      <c r="E20" s="92" t="inlineStr">
        <is>
          <t>%</t>
        </is>
      </c>
      <c r="F20" s="92" t="inlineStr">
        <is>
          <t>AVG</t>
        </is>
      </c>
      <c r="G20" s="95" t="n"/>
      <c r="H20" s="95" t="n"/>
      <c r="I20" s="95" t="n"/>
      <c r="J20" s="89">
        <f>IFERROR(IF($F20="SUM",SUM(G20:I20),AVERAGE(G20:I20)),"")</f>
        <v/>
      </c>
      <c r="K20" s="95" t="n"/>
      <c r="L20" s="95" t="n"/>
      <c r="M20" s="95" t="n"/>
      <c r="N20" s="95" t="n"/>
      <c r="O20" s="89">
        <f>IFERROR(IF($F20="SUM",SUM(K20:N20),AVERAGE(K20:N20)),"")</f>
        <v/>
      </c>
      <c r="P20" s="95" t="n"/>
      <c r="Q20" s="95" t="n"/>
      <c r="R20" s="95" t="n"/>
      <c r="S20" s="95" t="n"/>
      <c r="T20" s="95" t="n"/>
      <c r="U20" s="89">
        <f>IFERROR(IF($F20="SUM",SUM(P20:T20),AVERAGE(P20:T20)),"")</f>
        <v/>
      </c>
      <c r="V20" s="95" t="n"/>
      <c r="W20" s="95" t="n"/>
      <c r="X20" s="95" t="n"/>
      <c r="Y20" s="95" t="n"/>
      <c r="Z20" s="89">
        <f>IFERROR(IF($F20="SUM",SUM(V20:Y20),AVERAGE(V20:Y20)),"")</f>
        <v/>
      </c>
      <c r="AA20" s="95" t="n"/>
      <c r="AB20" s="95" t="n"/>
      <c r="AC20" s="95" t="n"/>
      <c r="AD20" s="95" t="n"/>
      <c r="AE20" s="89">
        <f>IFERROR(IF($F20="SUM",SUM(AA20:AD20),AVERAGE(AA20:AD20)),"")</f>
        <v/>
      </c>
      <c r="AF20" s="95" t="n"/>
      <c r="AG20" s="95" t="n"/>
      <c r="AH20" s="95" t="n"/>
      <c r="AI20" s="95" t="n"/>
      <c r="AJ20" s="95" t="n"/>
      <c r="AK20" s="89">
        <f>IFERROR(IF($F20="SUM",SUM(AF20:AJ20),AVERAGE(AF20:AJ20)),"")</f>
        <v/>
      </c>
      <c r="AL20" s="95" t="n"/>
      <c r="AM20" s="95" t="n"/>
      <c r="AN20" s="95" t="n"/>
      <c r="AO20" s="95" t="n"/>
      <c r="AP20" s="89">
        <f>IFERROR(IF($F20="SUM",SUM(AL20:AO20),AVERAGE(AL20:AO20)),"")</f>
        <v/>
      </c>
      <c r="AQ20" s="90">
        <f>IFERROR(IF($F20="SUM",SUM(J20,O20,U20,Z20,AE20,AK20,AP20),AVERAGE(J20,O20,U20,Z20,AE20,AK20,AP20)),"")</f>
        <v/>
      </c>
    </row>
    <row r="21" ht="25.5" customHeight="1" s="80">
      <c r="A21" s="86" t="inlineStr">
        <is>
          <t>CTO</t>
        </is>
      </c>
      <c r="B21" s="87" t="inlineStr">
        <is>
          <t>Z02</t>
        </is>
      </c>
      <c r="C21" s="88" t="inlineStr">
        <is>
          <t>Sprint delivery rate</t>
        </is>
      </c>
      <c r="D21" s="88" t="inlineStr">
        <is>
          <t>≥85%</t>
        </is>
      </c>
      <c r="E21" s="87" t="inlineStr">
        <is>
          <t>%</t>
        </is>
      </c>
      <c r="F21" s="87" t="inlineStr">
        <is>
          <t>AVG</t>
        </is>
      </c>
      <c r="G21" s="95" t="n"/>
      <c r="H21" s="95" t="n"/>
      <c r="I21" s="95" t="n"/>
      <c r="J21" s="89">
        <f>IFERROR(IF($F21="SUM",SUM(G21:I21),AVERAGE(G21:I21)),"")</f>
        <v/>
      </c>
      <c r="K21" s="95" t="n"/>
      <c r="L21" s="95" t="n"/>
      <c r="M21" s="95" t="n"/>
      <c r="N21" s="95" t="n"/>
      <c r="O21" s="89">
        <f>IFERROR(IF($F21="SUM",SUM(K21:N21),AVERAGE(K21:N21)),"")</f>
        <v/>
      </c>
      <c r="P21" s="95" t="n"/>
      <c r="Q21" s="95" t="n"/>
      <c r="R21" s="95" t="n"/>
      <c r="S21" s="95" t="n"/>
      <c r="T21" s="95" t="n"/>
      <c r="U21" s="89">
        <f>IFERROR(IF($F21="SUM",SUM(P21:T21),AVERAGE(P21:T21)),"")</f>
        <v/>
      </c>
      <c r="V21" s="95" t="n"/>
      <c r="W21" s="95" t="n"/>
      <c r="X21" s="95" t="n"/>
      <c r="Y21" s="95" t="n"/>
      <c r="Z21" s="89">
        <f>IFERROR(IF($F21="SUM",SUM(V21:Y21),AVERAGE(V21:Y21)),"")</f>
        <v/>
      </c>
      <c r="AA21" s="95" t="n"/>
      <c r="AB21" s="95" t="n"/>
      <c r="AC21" s="95" t="n"/>
      <c r="AD21" s="95" t="n"/>
      <c r="AE21" s="89">
        <f>IFERROR(IF($F21="SUM",SUM(AA21:AD21),AVERAGE(AA21:AD21)),"")</f>
        <v/>
      </c>
      <c r="AF21" s="95" t="n"/>
      <c r="AG21" s="95" t="n"/>
      <c r="AH21" s="95" t="n"/>
      <c r="AI21" s="95" t="n"/>
      <c r="AJ21" s="95" t="n"/>
      <c r="AK21" s="89">
        <f>IFERROR(IF($F21="SUM",SUM(AF21:AJ21),AVERAGE(AF21:AJ21)),"")</f>
        <v/>
      </c>
      <c r="AL21" s="95" t="n"/>
      <c r="AM21" s="95" t="n"/>
      <c r="AN21" s="95" t="n"/>
      <c r="AO21" s="95" t="n"/>
      <c r="AP21" s="89">
        <f>IFERROR(IF($F21="SUM",SUM(AL21:AO21),AVERAGE(AL21:AO21)),"")</f>
        <v/>
      </c>
      <c r="AQ21" s="90">
        <f>IFERROR(IF($F21="SUM",SUM(J21,O21,U21,Z21,AE21,AK21,AP21),AVERAGE(J21,O21,U21,Z21,AE21,AK21,AP21)),"")</f>
        <v/>
      </c>
    </row>
    <row r="22" ht="25.5" customHeight="1" s="80">
      <c r="A22" s="91" t="inlineStr">
        <is>
          <t>CTO</t>
        </is>
      </c>
      <c r="B22" s="92" t="inlineStr">
        <is>
          <t>Z05</t>
        </is>
      </c>
      <c r="C22" s="93" t="inlineStr">
        <is>
          <t>Оцінки надано в строк</t>
        </is>
      </c>
      <c r="D22" s="93" t="inlineStr">
        <is>
          <t>≥90%</t>
        </is>
      </c>
      <c r="E22" s="92" t="inlineStr">
        <is>
          <t>%</t>
        </is>
      </c>
      <c r="F22" s="92" t="inlineStr">
        <is>
          <t>AVG</t>
        </is>
      </c>
      <c r="G22" s="95" t="n"/>
      <c r="H22" s="95" t="n"/>
      <c r="I22" s="95" t="n"/>
      <c r="J22" s="89">
        <f>IFERROR(IF($F22="SUM",SUM(G22:I22),AVERAGE(G22:I22)),"")</f>
        <v/>
      </c>
      <c r="K22" s="95" t="n"/>
      <c r="L22" s="95" t="n"/>
      <c r="M22" s="95" t="n"/>
      <c r="N22" s="95" t="n"/>
      <c r="O22" s="89">
        <f>IFERROR(IF($F22="SUM",SUM(K22:N22),AVERAGE(K22:N22)),"")</f>
        <v/>
      </c>
      <c r="P22" s="95" t="n"/>
      <c r="Q22" s="95" t="n"/>
      <c r="R22" s="95" t="n"/>
      <c r="S22" s="95" t="n"/>
      <c r="T22" s="95" t="n"/>
      <c r="U22" s="89">
        <f>IFERROR(IF($F22="SUM",SUM(P22:T22),AVERAGE(P22:T22)),"")</f>
        <v/>
      </c>
      <c r="V22" s="95" t="n"/>
      <c r="W22" s="95" t="n"/>
      <c r="X22" s="95" t="n"/>
      <c r="Y22" s="95" t="n"/>
      <c r="Z22" s="89">
        <f>IFERROR(IF($F22="SUM",SUM(V22:Y22),AVERAGE(V22:Y22)),"")</f>
        <v/>
      </c>
      <c r="AA22" s="95" t="n"/>
      <c r="AB22" s="95" t="n"/>
      <c r="AC22" s="95" t="n"/>
      <c r="AD22" s="95" t="n"/>
      <c r="AE22" s="89">
        <f>IFERROR(IF($F22="SUM",SUM(AA22:AD22),AVERAGE(AA22:AD22)),"")</f>
        <v/>
      </c>
      <c r="AF22" s="95" t="n"/>
      <c r="AG22" s="95" t="n"/>
      <c r="AH22" s="95" t="n"/>
      <c r="AI22" s="95" t="n"/>
      <c r="AJ22" s="95" t="n"/>
      <c r="AK22" s="89">
        <f>IFERROR(IF($F22="SUM",SUM(AF22:AJ22),AVERAGE(AF22:AJ22)),"")</f>
        <v/>
      </c>
      <c r="AL22" s="95" t="n"/>
      <c r="AM22" s="95" t="n"/>
      <c r="AN22" s="95" t="n"/>
      <c r="AO22" s="95" t="n"/>
      <c r="AP22" s="89">
        <f>IFERROR(IF($F22="SUM",SUM(AL22:AO22),AVERAGE(AL22:AO22)),"")</f>
        <v/>
      </c>
      <c r="AQ22" s="90">
        <f>IFERROR(IF($F22="SUM",SUM(J22,O22,U22,Z22,AE22,AK22,AP22),AVERAGE(J22,O22,U22,Z22,AE22,AK22,AP22)),"")</f>
        <v/>
      </c>
    </row>
    <row r="23" ht="25.5" customHeight="1" s="80">
      <c r="A23" s="86" t="inlineStr">
        <is>
          <t>PM</t>
        </is>
      </c>
      <c r="B23" s="87" t="inlineStr">
        <is>
          <t>Z02</t>
        </is>
      </c>
      <c r="C23" s="88" t="inlineStr">
        <is>
          <t>Blockers ≤24 год</t>
        </is>
      </c>
      <c r="D23" s="88" t="inlineStr">
        <is>
          <t>≥90%</t>
        </is>
      </c>
      <c r="E23" s="87" t="inlineStr">
        <is>
          <t>%</t>
        </is>
      </c>
      <c r="F23" s="87" t="inlineStr">
        <is>
          <t>AVG</t>
        </is>
      </c>
      <c r="G23" s="95" t="n"/>
      <c r="H23" s="95" t="n"/>
      <c r="I23" s="95" t="n"/>
      <c r="J23" s="89">
        <f>IFERROR(IF($F23="SUM",SUM(G23:I23),AVERAGE(G23:I23)),"")</f>
        <v/>
      </c>
      <c r="K23" s="95" t="n"/>
      <c r="L23" s="95" t="n"/>
      <c r="M23" s="95" t="n"/>
      <c r="N23" s="95" t="n"/>
      <c r="O23" s="89">
        <f>IFERROR(IF($F23="SUM",SUM(K23:N23),AVERAGE(K23:N23)),"")</f>
        <v/>
      </c>
      <c r="P23" s="95" t="n"/>
      <c r="Q23" s="95" t="n"/>
      <c r="R23" s="95" t="n"/>
      <c r="S23" s="95" t="n"/>
      <c r="T23" s="95" t="n"/>
      <c r="U23" s="89">
        <f>IFERROR(IF($F23="SUM",SUM(P23:T23),AVERAGE(P23:T23)),"")</f>
        <v/>
      </c>
      <c r="V23" s="95" t="n"/>
      <c r="W23" s="95" t="n"/>
      <c r="X23" s="95" t="n"/>
      <c r="Y23" s="95" t="n"/>
      <c r="Z23" s="89">
        <f>IFERROR(IF($F23="SUM",SUM(V23:Y23),AVERAGE(V23:Y23)),"")</f>
        <v/>
      </c>
      <c r="AA23" s="95" t="n"/>
      <c r="AB23" s="95" t="n"/>
      <c r="AC23" s="95" t="n"/>
      <c r="AD23" s="95" t="n"/>
      <c r="AE23" s="89">
        <f>IFERROR(IF($F23="SUM",SUM(AA23:AD23),AVERAGE(AA23:AD23)),"")</f>
        <v/>
      </c>
      <c r="AF23" s="95" t="n"/>
      <c r="AG23" s="95" t="n"/>
      <c r="AH23" s="95" t="n"/>
      <c r="AI23" s="95" t="n"/>
      <c r="AJ23" s="95" t="n"/>
      <c r="AK23" s="89">
        <f>IFERROR(IF($F23="SUM",SUM(AF23:AJ23),AVERAGE(AF23:AJ23)),"")</f>
        <v/>
      </c>
      <c r="AL23" s="95" t="n"/>
      <c r="AM23" s="95" t="n"/>
      <c r="AN23" s="95" t="n"/>
      <c r="AO23" s="95" t="n"/>
      <c r="AP23" s="89">
        <f>IFERROR(IF($F23="SUM",SUM(AL23:AO23),AVERAGE(AL23:AO23)),"")</f>
        <v/>
      </c>
      <c r="AQ23" s="90">
        <f>IFERROR(IF($F23="SUM",SUM(J23,O23,U23,Z23,AE23,AK23,AP23),AVERAGE(J23,O23,U23,Z23,AE23,AK23,AP23)),"")</f>
        <v/>
      </c>
    </row>
    <row r="24" ht="25.5" customHeight="1" s="80">
      <c r="A24" s="86" t="inlineStr">
        <is>
          <t>Finance Manager</t>
        </is>
      </c>
      <c r="B24" s="87" t="inlineStr">
        <is>
          <t>Z01</t>
        </is>
      </c>
      <c r="C24" s="88" t="inlineStr">
        <is>
          <t>Cash flow надходження</t>
        </is>
      </c>
      <c r="D24" s="88" t="inlineStr">
        <is>
          <t>план $</t>
        </is>
      </c>
      <c r="E24" s="87" t="inlineStr">
        <is>
          <t>$</t>
        </is>
      </c>
      <c r="F24" s="87" t="inlineStr">
        <is>
          <t>SUM</t>
        </is>
      </c>
      <c r="G24" s="95" t="n"/>
      <c r="H24" s="95" t="n"/>
      <c r="I24" s="95" t="n"/>
      <c r="J24" s="89">
        <f>IFERROR(IF($F24="SUM",SUM(G24:I24),AVERAGE(G24:I24)),"")</f>
        <v/>
      </c>
      <c r="K24" s="95" t="n"/>
      <c r="L24" s="95" t="n"/>
      <c r="M24" s="95" t="n"/>
      <c r="N24" s="95" t="n"/>
      <c r="O24" s="89">
        <f>IFERROR(IF($F24="SUM",SUM(K24:N24),AVERAGE(K24:N24)),"")</f>
        <v/>
      </c>
      <c r="P24" s="95" t="n"/>
      <c r="Q24" s="95" t="n"/>
      <c r="R24" s="95" t="n"/>
      <c r="S24" s="95" t="n"/>
      <c r="T24" s="95" t="n"/>
      <c r="U24" s="89">
        <f>IFERROR(IF($F24="SUM",SUM(P24:T24),AVERAGE(P24:T24)),"")</f>
        <v/>
      </c>
      <c r="V24" s="95" t="n"/>
      <c r="W24" s="95" t="n"/>
      <c r="X24" s="95" t="n"/>
      <c r="Y24" s="95" t="n"/>
      <c r="Z24" s="89">
        <f>IFERROR(IF($F24="SUM",SUM(V24:Y24),AVERAGE(V24:Y24)),"")</f>
        <v/>
      </c>
      <c r="AA24" s="95" t="n"/>
      <c r="AB24" s="95" t="n"/>
      <c r="AC24" s="95" t="n"/>
      <c r="AD24" s="95" t="n"/>
      <c r="AE24" s="89">
        <f>IFERROR(IF($F24="SUM",SUM(AA24:AD24),AVERAGE(AA24:AD24)),"")</f>
        <v/>
      </c>
      <c r="AF24" s="95" t="n"/>
      <c r="AG24" s="95" t="n"/>
      <c r="AH24" s="95" t="n"/>
      <c r="AI24" s="95" t="n"/>
      <c r="AJ24" s="95" t="n"/>
      <c r="AK24" s="89">
        <f>IFERROR(IF($F24="SUM",SUM(AF24:AJ24),AVERAGE(AF24:AJ24)),"")</f>
        <v/>
      </c>
      <c r="AL24" s="95" t="n"/>
      <c r="AM24" s="95" t="n"/>
      <c r="AN24" s="95" t="n"/>
      <c r="AO24" s="95" t="n"/>
      <c r="AP24" s="89">
        <f>IFERROR(IF($F24="SUM",SUM(AL24:AO24),AVERAGE(AL24:AO24)),"")</f>
        <v/>
      </c>
      <c r="AQ24" s="90">
        <f>IFERROR(IF($F24="SUM",SUM(J24,O24,U24,Z24,AE24,AK24,AP24),AVERAGE(J24,O24,U24,Z24,AE24,AK24,AP24)),"")</f>
        <v/>
      </c>
    </row>
    <row r="25" ht="25.5" customHeight="1" s="80">
      <c r="A25" s="91" t="inlineStr">
        <is>
          <t>Finance Manager</t>
        </is>
      </c>
      <c r="B25" s="92" t="inlineStr">
        <is>
          <t>Z01</t>
        </is>
      </c>
      <c r="C25" s="93" t="inlineStr">
        <is>
          <t>Прострочена дебіторка</t>
        </is>
      </c>
      <c r="D25" s="93" t="inlineStr">
        <is>
          <t>≤10%</t>
        </is>
      </c>
      <c r="E25" s="92" t="inlineStr">
        <is>
          <t>%</t>
        </is>
      </c>
      <c r="F25" s="92" t="inlineStr">
        <is>
          <t>AVG</t>
        </is>
      </c>
      <c r="G25" s="95" t="n"/>
      <c r="H25" s="95" t="n"/>
      <c r="I25" s="95" t="n"/>
      <c r="J25" s="89">
        <f>IFERROR(IF($F25="SUM",SUM(G25:I25),AVERAGE(G25:I25)),"")</f>
        <v/>
      </c>
      <c r="K25" s="95" t="n"/>
      <c r="L25" s="95" t="n"/>
      <c r="M25" s="95" t="n"/>
      <c r="N25" s="95" t="n"/>
      <c r="O25" s="89">
        <f>IFERROR(IF($F25="SUM",SUM(K25:N25),AVERAGE(K25:N25)),"")</f>
        <v/>
      </c>
      <c r="P25" s="95" t="n"/>
      <c r="Q25" s="95" t="n"/>
      <c r="R25" s="95" t="n"/>
      <c r="S25" s="95" t="n"/>
      <c r="T25" s="95" t="n"/>
      <c r="U25" s="89">
        <f>IFERROR(IF($F25="SUM",SUM(P25:T25),AVERAGE(P25:T25)),"")</f>
        <v/>
      </c>
      <c r="V25" s="95" t="n"/>
      <c r="W25" s="95" t="n"/>
      <c r="X25" s="95" t="n"/>
      <c r="Y25" s="95" t="n"/>
      <c r="Z25" s="89">
        <f>IFERROR(IF($F25="SUM",SUM(V25:Y25),AVERAGE(V25:Y25)),"")</f>
        <v/>
      </c>
      <c r="AA25" s="95" t="n"/>
      <c r="AB25" s="95" t="n"/>
      <c r="AC25" s="95" t="n"/>
      <c r="AD25" s="95" t="n"/>
      <c r="AE25" s="89">
        <f>IFERROR(IF($F25="SUM",SUM(AA25:AD25),AVERAGE(AA25:AD25)),"")</f>
        <v/>
      </c>
      <c r="AF25" s="95" t="n"/>
      <c r="AG25" s="95" t="n"/>
      <c r="AH25" s="95" t="n"/>
      <c r="AI25" s="95" t="n"/>
      <c r="AJ25" s="95" t="n"/>
      <c r="AK25" s="89">
        <f>IFERROR(IF($F25="SUM",SUM(AF25:AJ25),AVERAGE(AF25:AJ25)),"")</f>
        <v/>
      </c>
      <c r="AL25" s="95" t="n"/>
      <c r="AM25" s="95" t="n"/>
      <c r="AN25" s="95" t="n"/>
      <c r="AO25" s="95" t="n"/>
      <c r="AP25" s="89">
        <f>IFERROR(IF($F25="SUM",SUM(AL25:AO25),AVERAGE(AL25:AO25)),"")</f>
        <v/>
      </c>
      <c r="AQ25" s="90">
        <f>IFERROR(IF($F25="SUM",SUM(J25,O25,U25,Z25,AE25,AK25,AP25),AVERAGE(J25,O25,U25,Z25,AE25,AK25,AP25)),"")</f>
        <v/>
      </c>
    </row>
    <row r="26" ht="25.5" customHeight="1" s="80">
      <c r="A26" s="86" t="inlineStr">
        <is>
          <t>Marketing</t>
        </is>
      </c>
      <c r="B26" s="87" t="inlineStr">
        <is>
          <t>Z04</t>
        </is>
      </c>
      <c r="C26" s="88" t="inlineStr">
        <is>
          <t>Collateral ≤5 днів</t>
        </is>
      </c>
      <c r="D26" s="88" t="inlineStr">
        <is>
          <t>≥90%</t>
        </is>
      </c>
      <c r="E26" s="87" t="inlineStr">
        <is>
          <t>%</t>
        </is>
      </c>
      <c r="F26" s="87" t="inlineStr">
        <is>
          <t>AVG</t>
        </is>
      </c>
      <c r="G26" s="95" t="n"/>
      <c r="H26" s="95" t="n"/>
      <c r="I26" s="95" t="n"/>
      <c r="J26" s="89">
        <f>IFERROR(IF($F26="SUM",SUM(G26:I26),AVERAGE(G26:I26)),"")</f>
        <v/>
      </c>
      <c r="K26" s="95" t="n"/>
      <c r="L26" s="95" t="n"/>
      <c r="M26" s="95" t="n"/>
      <c r="N26" s="95" t="n"/>
      <c r="O26" s="89">
        <f>IFERROR(IF($F26="SUM",SUM(K26:N26),AVERAGE(K26:N26)),"")</f>
        <v/>
      </c>
      <c r="P26" s="95" t="n"/>
      <c r="Q26" s="95" t="n"/>
      <c r="R26" s="95" t="n"/>
      <c r="S26" s="95" t="n"/>
      <c r="T26" s="95" t="n"/>
      <c r="U26" s="89">
        <f>IFERROR(IF($F26="SUM",SUM(P26:T26),AVERAGE(P26:T26)),"")</f>
        <v/>
      </c>
      <c r="V26" s="95" t="n"/>
      <c r="W26" s="95" t="n"/>
      <c r="X26" s="95" t="n"/>
      <c r="Y26" s="95" t="n"/>
      <c r="Z26" s="89">
        <f>IFERROR(IF($F26="SUM",SUM(V26:Y26),AVERAGE(V26:Y26)),"")</f>
        <v/>
      </c>
      <c r="AA26" s="95" t="n"/>
      <c r="AB26" s="95" t="n"/>
      <c r="AC26" s="95" t="n"/>
      <c r="AD26" s="95" t="n"/>
      <c r="AE26" s="89">
        <f>IFERROR(IF($F26="SUM",SUM(AA26:AD26),AVERAGE(AA26:AD26)),"")</f>
        <v/>
      </c>
      <c r="AF26" s="95" t="n"/>
      <c r="AG26" s="95" t="n"/>
      <c r="AH26" s="95" t="n"/>
      <c r="AI26" s="95" t="n"/>
      <c r="AJ26" s="95" t="n"/>
      <c r="AK26" s="89">
        <f>IFERROR(IF($F26="SUM",SUM(AF26:AJ26),AVERAGE(AF26:AJ26)),"")</f>
        <v/>
      </c>
      <c r="AL26" s="95" t="n"/>
      <c r="AM26" s="95" t="n"/>
      <c r="AN26" s="95" t="n"/>
      <c r="AO26" s="95" t="n"/>
      <c r="AP26" s="89">
        <f>IFERROR(IF($F26="SUM",SUM(AL26:AO26),AVERAGE(AL26:AO26)),"")</f>
        <v/>
      </c>
      <c r="AQ26" s="90">
        <f>IFERROR(IF($F26="SUM",SUM(J26,O26,U26,Z26,AE26,AK26,AP26),AVERAGE(J26,O26,U26,Z26,AE26,AK26,AP26)),"")</f>
        <v/>
      </c>
    </row>
  </sheetData>
  <mergeCells count="2">
    <mergeCell ref="A1:AQ1"/>
    <mergeCell ref="A2:AQ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M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.43" customWidth="1" style="79" min="1" max="1"/>
    <col width="13" customWidth="1" style="79" min="2" max="2"/>
    <col width="19.14" customWidth="1" style="79" min="3" max="3"/>
    <col width="20" customWidth="1" style="79" min="4" max="4"/>
    <col width="28" customWidth="1" style="79" min="5" max="5"/>
    <col width="12" customWidth="1" style="79" min="6" max="7"/>
    <col width="9" customWidth="1" style="79" min="8" max="8"/>
    <col width="32" customWidth="1" style="79" min="9" max="9"/>
    <col width="8.710000000000001" customWidth="1" style="79" min="10" max="12"/>
    <col width="16" customWidth="1" style="79" min="13" max="13"/>
  </cols>
  <sheetData>
    <row r="1" ht="4.5" customHeight="1" s="80">
      <c r="A1" s="96" t="n"/>
    </row>
    <row r="2" ht="31.5" customHeight="1" s="80">
      <c r="A2" s="97" t="inlineStr">
        <is>
          <t>GIS-POINT  ·  ЩОМІСЯЧНИЙ ОГЛЯД КОМПАНІЇ</t>
        </is>
      </c>
    </row>
    <row r="3" ht="15.75" customHeight="1" s="80">
      <c r="A3" s="98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80">
      <c r="A4" s="96" t="n"/>
    </row>
    <row r="5" ht="19.5" customHeight="1" s="80">
      <c r="A5" s="99" t="inlineStr">
        <is>
          <t>Місяць огляду:</t>
        </is>
      </c>
      <c r="B5" s="100" t="n"/>
      <c r="C5" s="100" t="n"/>
      <c r="D5" s="100" t="n"/>
      <c r="E5" s="101" t="inlineStr">
        <is>
          <t>March 2026</t>
        </is>
      </c>
      <c r="F5" s="100" t="n"/>
      <c r="G5" s="102" t="inlineStr">
        <is>
          <t>✅ = норма   ⚠️ = відхилення (поясни + план дії)   ❌ = критично (дія до наступного тижня)</t>
        </is>
      </c>
      <c r="H5" s="100" t="n"/>
      <c r="I5" s="100" t="n"/>
      <c r="J5" s="103" t="n">
        <v>46113</v>
      </c>
      <c r="K5" s="100" t="n"/>
    </row>
    <row r="6" ht="24" customHeight="1" s="80">
      <c r="B6" s="104" t="inlineStr">
        <is>
          <t>БЛОК
(ГАРНІШ)</t>
        </is>
      </c>
      <c r="C6" s="104" t="inlineStr">
        <is>
          <t>#</t>
        </is>
      </c>
      <c r="D6" s="105" t="inlineStr">
        <is>
          <t>ВІДДІЛ / РОЛЬ</t>
        </is>
      </c>
      <c r="E6" s="105" t="inlineStr">
        <is>
          <t>ЗОНА / КЛЮЧОВА МЕТРИКА</t>
        </is>
      </c>
      <c r="F6" s="106" t="inlineStr">
        <is>
          <t>ПЛАН</t>
        </is>
      </c>
      <c r="G6" s="107" t="inlineStr">
        <is>
          <t>ФАКТ (місяць)</t>
        </is>
      </c>
      <c r="H6" s="104" t="inlineStr">
        <is>
          <t>СТАТУС</t>
        </is>
      </c>
      <c r="I6" s="104" t="inlineStr">
        <is>
          <t>КОМЕНТАР / ДІЯ</t>
        </is>
      </c>
      <c r="J6" s="106" t="inlineStr">
        <is>
          <t>ПЛАН</t>
        </is>
      </c>
      <c r="K6" s="107" t="inlineStr">
        <is>
          <t>ФАКТ (місяць)</t>
        </is>
      </c>
      <c r="L6" s="104" t="inlineStr">
        <is>
          <t>СТАТУС</t>
        </is>
      </c>
      <c r="M6" s="104" t="inlineStr">
        <is>
          <t>КОМЕНТАР / ДІЯ</t>
        </is>
      </c>
    </row>
    <row r="7" ht="21.75" customHeight="1" s="80">
      <c r="A7" s="108" t="inlineStr">
        <is>
          <t xml:space="preserve">   ▌   ЛЮДИ</t>
        </is>
      </c>
      <c r="B7" s="109" t="n"/>
      <c r="C7" s="109" t="n"/>
      <c r="D7" s="109" t="n"/>
      <c r="E7" s="109" t="n"/>
      <c r="F7" s="109" t="n"/>
      <c r="G7" s="109" t="n"/>
      <c r="H7" s="109" t="n"/>
      <c r="I7" s="109" t="n"/>
    </row>
    <row r="8" ht="14.25" customHeight="1" s="80">
      <c r="B8" s="110" t="inlineStr">
        <is>
          <t>Люди</t>
        </is>
      </c>
      <c r="C8" s="111" t="n">
        <v>1</v>
      </c>
      <c r="D8" s="112" t="inlineStr">
        <is>
          <t>👔 CEO</t>
        </is>
      </c>
      <c r="E8" s="113" t="inlineStr">
        <is>
          <t>NPS команди (quarterly pulse)</t>
        </is>
      </c>
      <c r="F8" s="114" t="inlineStr">
        <is>
          <t>≥7/10</t>
        </is>
      </c>
      <c r="G8" s="115" t="n"/>
      <c r="H8" s="116" t="inlineStr">
        <is>
          <t>—</t>
        </is>
      </c>
      <c r="I8" s="117" t="n"/>
      <c r="J8" s="114" t="inlineStr">
        <is>
          <t>≥7/10</t>
        </is>
      </c>
      <c r="K8" s="115" t="n"/>
      <c r="L8" s="116" t="inlineStr">
        <is>
          <t>—</t>
        </is>
      </c>
      <c r="M8" s="117" t="n"/>
    </row>
    <row r="9" ht="14.25" customHeight="1" s="80">
      <c r="B9" s="110" t="inlineStr">
        <is>
          <t>Люди</t>
        </is>
      </c>
      <c r="C9" s="118" t="n">
        <v>2</v>
      </c>
      <c r="D9" s="119" t="inlineStr">
        <is>
          <t>💻 CTO</t>
        </is>
      </c>
      <c r="E9" s="120" t="inlineStr">
        <is>
          <t>Developer satisfaction (internal NPS)</t>
        </is>
      </c>
      <c r="F9" s="121" t="inlineStr">
        <is>
          <t>≥7/10</t>
        </is>
      </c>
      <c r="G9" s="115" t="n"/>
      <c r="H9" s="122" t="inlineStr">
        <is>
          <t>—</t>
        </is>
      </c>
      <c r="I9" s="123" t="n"/>
      <c r="J9" s="121" t="inlineStr">
        <is>
          <t>≥7/10</t>
        </is>
      </c>
      <c r="K9" s="115" t="n"/>
      <c r="L9" s="122" t="inlineStr">
        <is>
          <t>—</t>
        </is>
      </c>
      <c r="M9" s="123" t="n"/>
    </row>
    <row r="10" ht="14.25" customHeight="1" s="80">
      <c r="B10" s="110" t="inlineStr">
        <is>
          <t>Люди</t>
        </is>
      </c>
      <c r="C10" s="124" t="n">
        <v>3</v>
      </c>
      <c r="D10" s="112" t="inlineStr">
        <is>
          <t>🗺️ Head of Delivery</t>
        </is>
      </c>
      <c r="E10" s="113" t="inlineStr">
        <is>
          <t>GIS team satisfaction</t>
        </is>
      </c>
      <c r="F10" s="114" t="inlineStr">
        <is>
          <t>≥7/10</t>
        </is>
      </c>
      <c r="G10" s="115" t="n"/>
      <c r="H10" s="116" t="inlineStr">
        <is>
          <t>—</t>
        </is>
      </c>
      <c r="I10" s="117" t="n"/>
      <c r="J10" s="114" t="inlineStr">
        <is>
          <t>≥7/10</t>
        </is>
      </c>
      <c r="K10" s="115" t="n"/>
      <c r="L10" s="116" t="inlineStr">
        <is>
          <t>—</t>
        </is>
      </c>
      <c r="M10" s="117" t="n"/>
    </row>
    <row r="11" ht="14.25" customHeight="1" s="80">
      <c r="B11" s="110" t="inlineStr">
        <is>
          <t>Люди</t>
        </is>
      </c>
      <c r="C11" s="125" t="n">
        <v>4</v>
      </c>
      <c r="D11" s="119" t="inlineStr">
        <is>
          <t>⚙️ Operations</t>
        </is>
      </c>
      <c r="E11" s="120" t="inlineStr">
        <is>
          <t>Onboarding завершено за ≤3 дні</t>
        </is>
      </c>
      <c r="F11" s="121" t="inlineStr">
        <is>
          <t>100%</t>
        </is>
      </c>
      <c r="G11" s="115" t="n"/>
      <c r="H11" s="122" t="inlineStr">
        <is>
          <t>—</t>
        </is>
      </c>
      <c r="I11" s="123" t="n"/>
      <c r="J11" s="121" t="inlineStr">
        <is>
          <t>100%</t>
        </is>
      </c>
      <c r="K11" s="115" t="n"/>
      <c r="L11" s="122" t="inlineStr">
        <is>
          <t>—</t>
        </is>
      </c>
      <c r="M11" s="123" t="n"/>
    </row>
    <row r="12" ht="21.75" customHeight="1" s="80">
      <c r="A12" s="126" t="inlineStr">
        <is>
          <t xml:space="preserve">   ▌   СТРАТЕГІЯ</t>
        </is>
      </c>
      <c r="B12" s="126" t="n"/>
      <c r="C12" s="126" t="n"/>
      <c r="D12" s="126" t="n"/>
      <c r="E12" s="126" t="n"/>
      <c r="F12" s="126" t="n"/>
      <c r="G12" s="126" t="n"/>
      <c r="H12" s="126" t="n"/>
      <c r="I12" s="126" t="n"/>
    </row>
    <row r="13" ht="14.25" customHeight="1" s="80">
      <c r="B13" s="127" t="inlineStr">
        <is>
          <t>Стратегія</t>
        </is>
      </c>
      <c r="C13" s="111" t="n">
        <v>5</v>
      </c>
      <c r="D13" s="112" t="inlineStr">
        <is>
          <t>👔 CEO</t>
        </is>
      </c>
      <c r="E13" s="113" t="inlineStr">
        <is>
          <t>OKR завершено / квартал</t>
        </is>
      </c>
      <c r="F13" s="114" t="inlineStr">
        <is>
          <t>≥80%</t>
        </is>
      </c>
      <c r="G13" s="115" t="n"/>
      <c r="H13" s="116" t="inlineStr">
        <is>
          <t>—</t>
        </is>
      </c>
      <c r="I13" s="117" t="n"/>
      <c r="J13" s="114" t="inlineStr">
        <is>
          <t>≥80%</t>
        </is>
      </c>
      <c r="K13" s="115" t="n"/>
      <c r="L13" s="116" t="inlineStr">
        <is>
          <t>—</t>
        </is>
      </c>
      <c r="M13" s="117" t="n"/>
    </row>
    <row r="14" ht="14.25" customHeight="1" s="80">
      <c r="B14" s="127" t="inlineStr">
        <is>
          <t>Стратегія</t>
        </is>
      </c>
      <c r="C14" s="128" t="n">
        <v>6</v>
      </c>
      <c r="D14" s="119" t="inlineStr">
        <is>
          <t>👔 CEO</t>
        </is>
      </c>
      <c r="E14" s="120" t="inlineStr">
        <is>
          <t>Нові стратег. контракти / партнерства (кв.)</t>
        </is>
      </c>
      <c r="F14" s="121" t="inlineStr">
        <is>
          <t>≥2 шт</t>
        </is>
      </c>
      <c r="G14" s="115" t="n"/>
      <c r="H14" s="122" t="inlineStr">
        <is>
          <t>—</t>
        </is>
      </c>
      <c r="I14" s="123" t="n"/>
      <c r="J14" s="121" t="inlineStr">
        <is>
          <t>≥2 шт</t>
        </is>
      </c>
      <c r="K14" s="115" t="n"/>
      <c r="L14" s="122" t="inlineStr">
        <is>
          <t>—</t>
        </is>
      </c>
      <c r="M14" s="123" t="n"/>
    </row>
    <row r="15" ht="14.25" customHeight="1" s="80">
      <c r="B15" s="127" t="inlineStr">
        <is>
          <t>Стратегія</t>
        </is>
      </c>
      <c r="C15" s="111" t="n">
        <v>7</v>
      </c>
      <c r="D15" s="112" t="inlineStr">
        <is>
          <t>👔 CEO</t>
        </is>
      </c>
      <c r="E15" s="113" t="inlineStr">
        <is>
          <t>Нових напрямків запущено / рік</t>
        </is>
      </c>
      <c r="F15" s="114" t="inlineStr">
        <is>
          <t>≥2 шт</t>
        </is>
      </c>
      <c r="G15" s="115" t="n"/>
      <c r="H15" s="116" t="inlineStr">
        <is>
          <t>—</t>
        </is>
      </c>
      <c r="I15" s="117" t="n"/>
      <c r="J15" s="114" t="inlineStr">
        <is>
          <t>≥2 шт</t>
        </is>
      </c>
      <c r="K15" s="115" t="n"/>
      <c r="L15" s="116" t="inlineStr">
        <is>
          <t>—</t>
        </is>
      </c>
      <c r="M15" s="117" t="n"/>
    </row>
    <row r="16" ht="14.25" customHeight="1" s="80">
      <c r="B16" s="127" t="inlineStr">
        <is>
          <t>Стратегія</t>
        </is>
      </c>
      <c r="C16" s="118" t="n">
        <v>8</v>
      </c>
      <c r="D16" s="119" t="inlineStr">
        <is>
          <t>💻 CTO</t>
        </is>
      </c>
      <c r="E16" s="120" t="inlineStr">
        <is>
          <t>POC нових технологій завершено в строк</t>
        </is>
      </c>
      <c r="F16" s="121" t="inlineStr">
        <is>
          <t>≥80%</t>
        </is>
      </c>
      <c r="G16" s="115" t="n"/>
      <c r="H16" s="122" t="inlineStr">
        <is>
          <t>—</t>
        </is>
      </c>
      <c r="I16" s="123" t="n"/>
      <c r="J16" s="121" t="inlineStr">
        <is>
          <t>≥80%</t>
        </is>
      </c>
      <c r="K16" s="115" t="n"/>
      <c r="L16" s="122" t="inlineStr">
        <is>
          <t>—</t>
        </is>
      </c>
      <c r="M16" s="123" t="n"/>
    </row>
    <row r="17" ht="14.25" customHeight="1" s="80">
      <c r="B17" s="127" t="inlineStr">
        <is>
          <t>Стратегія</t>
        </is>
      </c>
      <c r="C17" s="129" t="n">
        <v>9</v>
      </c>
      <c r="D17" s="112" t="inlineStr">
        <is>
          <t>📣 Marketing</t>
        </is>
      </c>
      <c r="E17" s="113" t="inlineStr">
        <is>
          <t>Публічних появ компанії / квартал</t>
        </is>
      </c>
      <c r="F17" s="114" t="inlineStr">
        <is>
          <t>≥3 шт</t>
        </is>
      </c>
      <c r="G17" s="115" t="n"/>
      <c r="H17" s="116" t="inlineStr">
        <is>
          <t>—</t>
        </is>
      </c>
      <c r="I17" s="117" t="n"/>
      <c r="J17" s="114" t="inlineStr">
        <is>
          <t>≥3 шт</t>
        </is>
      </c>
      <c r="K17" s="115" t="n"/>
      <c r="L17" s="116" t="inlineStr">
        <is>
          <t>—</t>
        </is>
      </c>
      <c r="M17" s="117" t="n"/>
    </row>
    <row r="18" ht="14.25" customHeight="1" s="80">
      <c r="B18" s="127" t="inlineStr">
        <is>
          <t>Стратегія</t>
        </is>
      </c>
      <c r="C18" s="130" t="n">
        <v>10</v>
      </c>
      <c r="D18" s="119" t="inlineStr">
        <is>
          <t>📣 Marketing</t>
        </is>
      </c>
      <c r="E18" s="120" t="inlineStr">
        <is>
          <t>Нових case studies / місяць</t>
        </is>
      </c>
      <c r="F18" s="121" t="inlineStr">
        <is>
          <t>≥1 шт</t>
        </is>
      </c>
      <c r="G18" s="115" t="n"/>
      <c r="H18" s="122" t="inlineStr">
        <is>
          <t>—</t>
        </is>
      </c>
      <c r="I18" s="123" t="n"/>
      <c r="J18" s="121" t="inlineStr">
        <is>
          <t>≥1 шт</t>
        </is>
      </c>
      <c r="K18" s="115" t="n"/>
      <c r="L18" s="122" t="inlineStr">
        <is>
          <t>—</t>
        </is>
      </c>
      <c r="M18" s="123" t="n"/>
    </row>
    <row r="19" ht="21.75" customHeight="1" s="80">
      <c r="A19" s="108" t="inlineStr">
        <is>
          <t xml:space="preserve">   ▌   РЕАЛІЗАЦІЯ</t>
        </is>
      </c>
      <c r="B19" s="109" t="n"/>
      <c r="C19" s="109" t="n"/>
      <c r="D19" s="109" t="n"/>
      <c r="E19" s="109" t="n"/>
      <c r="F19" s="109" t="n"/>
      <c r="G19" s="109" t="n"/>
      <c r="H19" s="109" t="n"/>
      <c r="I19" s="109" t="n"/>
    </row>
    <row r="20" ht="15" customHeight="1" s="80">
      <c r="B20" s="131" t="inlineStr">
        <is>
          <t>Реалізація</t>
        </is>
      </c>
      <c r="C20" s="132" t="n">
        <v>11</v>
      </c>
      <c r="D20" s="133" t="inlineStr">
        <is>
          <t>🎯 TL LeadGen</t>
        </is>
      </c>
      <c r="E20" s="113" t="inlineStr">
        <is>
          <t>Qualified leads (SQL) / місяць</t>
        </is>
      </c>
      <c r="F20" s="114" t="inlineStr">
        <is>
          <t>≥50 SQL</t>
        </is>
      </c>
      <c r="G20" s="115" t="n"/>
      <c r="H20" s="116" t="inlineStr">
        <is>
          <t>—</t>
        </is>
      </c>
      <c r="I20" s="117" t="n"/>
      <c r="J20" s="114" t="inlineStr">
        <is>
          <t>≥50 SQL</t>
        </is>
      </c>
      <c r="K20" s="115" t="n"/>
      <c r="L20" s="116" t="inlineStr">
        <is>
          <t>—</t>
        </is>
      </c>
      <c r="M20" s="117" t="n"/>
    </row>
    <row r="21" ht="15" customHeight="1" s="80">
      <c r="B21" s="131" t="inlineStr">
        <is>
          <t>Реалізація</t>
        </is>
      </c>
      <c r="C21" s="134" t="n">
        <v>12</v>
      </c>
      <c r="D21" s="119" t="inlineStr">
        <is>
          <t>🤝 Sales</t>
        </is>
      </c>
      <c r="E21" s="120" t="inlineStr">
        <is>
          <t>Discovery calls / місяць</t>
        </is>
      </c>
      <c r="F21" s="121" t="inlineStr">
        <is>
          <t>≥15 шт</t>
        </is>
      </c>
      <c r="G21" s="115" t="n"/>
      <c r="H21" s="122" t="inlineStr">
        <is>
          <t>—</t>
        </is>
      </c>
      <c r="I21" s="123" t="n"/>
      <c r="J21" s="121" t="inlineStr">
        <is>
          <t>≥15 шт</t>
        </is>
      </c>
      <c r="K21" s="115" t="n"/>
      <c r="L21" s="122" t="inlineStr">
        <is>
          <t>—</t>
        </is>
      </c>
      <c r="M21" s="123" t="n"/>
    </row>
    <row r="22" ht="15" customHeight="1" s="80">
      <c r="B22" s="131" t="inlineStr">
        <is>
          <t>Реалізація</t>
        </is>
      </c>
      <c r="C22" s="132" t="n">
        <v>13</v>
      </c>
      <c r="D22" s="112" t="inlineStr">
        <is>
          <t>🤝 Sales</t>
        </is>
      </c>
      <c r="E22" s="113" t="inlineStr">
        <is>
          <t>Пропозиції відправлено / місяць</t>
        </is>
      </c>
      <c r="F22" s="114" t="inlineStr">
        <is>
          <t>≥10 шт</t>
        </is>
      </c>
      <c r="G22" s="115" t="n"/>
      <c r="H22" s="116" t="inlineStr">
        <is>
          <t>—</t>
        </is>
      </c>
      <c r="I22" s="117" t="n"/>
      <c r="J22" s="114" t="inlineStr">
        <is>
          <t>≥10 шт</t>
        </is>
      </c>
      <c r="K22" s="115" t="n"/>
      <c r="L22" s="116" t="inlineStr">
        <is>
          <t>—</t>
        </is>
      </c>
      <c r="M22" s="117" t="n"/>
    </row>
    <row r="23" ht="15" customHeight="1" s="80">
      <c r="B23" s="131" t="inlineStr">
        <is>
          <t>Реалізація</t>
        </is>
      </c>
      <c r="C23" s="130" t="n">
        <v>14</v>
      </c>
      <c r="D23" s="119" t="inlineStr">
        <is>
          <t>📣 Marketing</t>
        </is>
      </c>
      <c r="E23" s="120" t="inlineStr">
        <is>
          <t>Inbound leads (MQL) / місяць</t>
        </is>
      </c>
      <c r="F23" s="121" t="inlineStr">
        <is>
          <t>≥10 MQL</t>
        </is>
      </c>
      <c r="G23" s="115" t="n"/>
      <c r="H23" s="122" t="inlineStr">
        <is>
          <t>—</t>
        </is>
      </c>
      <c r="I23" s="123" t="n"/>
      <c r="J23" s="121" t="inlineStr">
        <is>
          <t>≥10 MQL</t>
        </is>
      </c>
      <c r="K23" s="115" t="n"/>
      <c r="L23" s="122" t="inlineStr">
        <is>
          <t>—</t>
        </is>
      </c>
      <c r="M23" s="123" t="n"/>
    </row>
    <row r="24" ht="15" customHeight="1" s="80">
      <c r="B24" s="131" t="inlineStr">
        <is>
          <t>Реалізація</t>
        </is>
      </c>
      <c r="C24" s="124" t="n">
        <v>15</v>
      </c>
      <c r="D24" s="112" t="inlineStr">
        <is>
          <t>🗺️ Head of Delivery</t>
        </is>
      </c>
      <c r="E24" s="113" t="inlineStr">
        <is>
          <t>Проекти здані в строк</t>
        </is>
      </c>
      <c r="F24" s="114" t="inlineStr">
        <is>
          <t>≥85%</t>
        </is>
      </c>
      <c r="G24" s="115" t="n"/>
      <c r="H24" s="116" t="inlineStr">
        <is>
          <t>—</t>
        </is>
      </c>
      <c r="I24" s="117" t="n"/>
      <c r="J24" s="114" t="inlineStr">
        <is>
          <t>≥85%</t>
        </is>
      </c>
      <c r="K24" s="115" t="n"/>
      <c r="L24" s="116" t="inlineStr">
        <is>
          <t>—</t>
        </is>
      </c>
      <c r="M24" s="117" t="n"/>
    </row>
    <row r="25" ht="15" customHeight="1" s="80">
      <c r="B25" s="131" t="inlineStr">
        <is>
          <t>Реалізація</t>
        </is>
      </c>
      <c r="C25" s="135" t="n">
        <v>16</v>
      </c>
      <c r="D25" s="119" t="inlineStr">
        <is>
          <t>🗺️ Head of Delivery</t>
        </is>
      </c>
      <c r="E25" s="120" t="inlineStr">
        <is>
          <t>Utilization GIS-команди</t>
        </is>
      </c>
      <c r="F25" s="121" t="inlineStr">
        <is>
          <t>75–90%</t>
        </is>
      </c>
      <c r="G25" s="115" t="n"/>
      <c r="H25" s="122" t="inlineStr">
        <is>
          <t>—</t>
        </is>
      </c>
      <c r="I25" s="123" t="n"/>
      <c r="J25" s="121" t="inlineStr">
        <is>
          <t>75–90%</t>
        </is>
      </c>
      <c r="K25" s="115" t="n"/>
      <c r="L25" s="122" t="inlineStr">
        <is>
          <t>—</t>
        </is>
      </c>
      <c r="M25" s="123" t="n"/>
    </row>
    <row r="26" ht="15" customHeight="1" s="80">
      <c r="B26" s="131" t="inlineStr">
        <is>
          <t>Реалізація</t>
        </is>
      </c>
      <c r="C26" s="124" t="n">
        <v>17</v>
      </c>
      <c r="D26" s="112" t="inlineStr">
        <is>
          <t>🗺️ Head of Delivery</t>
        </is>
      </c>
      <c r="E26" s="113" t="inlineStr">
        <is>
          <t>Revision requests від клієнтів</t>
        </is>
      </c>
      <c r="F26" s="136" t="inlineStr">
        <is>
          <t>≤10%</t>
        </is>
      </c>
      <c r="G26" s="115" t="n"/>
      <c r="H26" s="116" t="inlineStr">
        <is>
          <t>—</t>
        </is>
      </c>
      <c r="I26" s="117" t="n"/>
      <c r="J26" s="136" t="inlineStr">
        <is>
          <t>≤10%</t>
        </is>
      </c>
      <c r="K26" s="115" t="n"/>
      <c r="L26" s="116" t="inlineStr">
        <is>
          <t>—</t>
        </is>
      </c>
      <c r="M26" s="117" t="n"/>
    </row>
    <row r="27" ht="15" customHeight="1" s="80">
      <c r="B27" s="131" t="inlineStr">
        <is>
          <t>Реалізація</t>
        </is>
      </c>
      <c r="C27" s="118" t="n">
        <v>18</v>
      </c>
      <c r="D27" s="119" t="inlineStr">
        <is>
          <t>💻 CTO</t>
        </is>
      </c>
      <c r="E27" s="120" t="inlineStr">
        <is>
          <t>Sprint delivery rate</t>
        </is>
      </c>
      <c r="F27" s="121" t="inlineStr">
        <is>
          <t>≥85%</t>
        </is>
      </c>
      <c r="G27" s="115" t="n"/>
      <c r="H27" s="122" t="inlineStr">
        <is>
          <t>—</t>
        </is>
      </c>
      <c r="I27" s="123" t="n"/>
      <c r="J27" s="121" t="inlineStr">
        <is>
          <t>≥85%</t>
        </is>
      </c>
      <c r="K27" s="115" t="n"/>
      <c r="L27" s="122" t="inlineStr">
        <is>
          <t>—</t>
        </is>
      </c>
      <c r="M27" s="123" t="n"/>
    </row>
    <row r="28" ht="15" customHeight="1" s="80">
      <c r="B28" s="131" t="inlineStr">
        <is>
          <t>Реалізація</t>
        </is>
      </c>
      <c r="C28" s="137" t="n">
        <v>19</v>
      </c>
      <c r="D28" s="112" t="inlineStr">
        <is>
          <t>🗺️ Head of Delivery</t>
        </is>
      </c>
      <c r="E28" s="113" t="inlineStr">
        <is>
          <t>Client CSAT (після проекту)</t>
        </is>
      </c>
      <c r="F28" s="136" t="inlineStr">
        <is>
          <t>≥8/10</t>
        </is>
      </c>
      <c r="G28" s="115" t="n"/>
      <c r="H28" s="116" t="inlineStr">
        <is>
          <t>—</t>
        </is>
      </c>
      <c r="I28" s="117" t="n"/>
      <c r="J28" s="136" t="inlineStr">
        <is>
          <t>≥8/10</t>
        </is>
      </c>
      <c r="K28" s="115" t="n"/>
      <c r="L28" s="116" t="inlineStr">
        <is>
          <t>—</t>
        </is>
      </c>
      <c r="M28" s="117" t="n"/>
    </row>
    <row r="29" ht="15" customHeight="1" s="80">
      <c r="B29" s="131" t="inlineStr">
        <is>
          <t>Реалізація</t>
        </is>
      </c>
      <c r="C29" s="138" t="n">
        <v>20</v>
      </c>
      <c r="D29" s="119" t="inlineStr">
        <is>
          <t>🗺️ Head of Delivery</t>
        </is>
      </c>
      <c r="E29" s="120" t="inlineStr">
        <is>
          <t>Blockers вирішені ≤24 год</t>
        </is>
      </c>
      <c r="F29" s="121" t="inlineStr">
        <is>
          <t>≥90%</t>
        </is>
      </c>
      <c r="G29" s="115" t="n"/>
      <c r="H29" s="122" t="inlineStr">
        <is>
          <t>—</t>
        </is>
      </c>
      <c r="I29" s="123" t="n"/>
      <c r="J29" s="121" t="inlineStr">
        <is>
          <t>≥90%</t>
        </is>
      </c>
      <c r="K29" s="115" t="n"/>
      <c r="L29" s="122" t="inlineStr">
        <is>
          <t>—</t>
        </is>
      </c>
      <c r="M29" s="123" t="n"/>
    </row>
    <row r="30" ht="15" customHeight="1" s="80">
      <c r="B30" s="131" t="inlineStr">
        <is>
          <t>Реалізація</t>
        </is>
      </c>
      <c r="C30" s="139" t="n">
        <v>21</v>
      </c>
      <c r="D30" s="112" t="inlineStr">
        <is>
          <t>⚙️ Operations</t>
        </is>
      </c>
      <c r="E30" s="113" t="inlineStr">
        <is>
          <t>Контракти без юр. претензій</t>
        </is>
      </c>
      <c r="F30" s="114" t="inlineStr">
        <is>
          <t>100%</t>
        </is>
      </c>
      <c r="G30" s="115" t="n"/>
      <c r="H30" s="116" t="inlineStr">
        <is>
          <t>—</t>
        </is>
      </c>
      <c r="I30" s="117" t="n"/>
      <c r="J30" s="114" t="inlineStr">
        <is>
          <t>100%</t>
        </is>
      </c>
      <c r="K30" s="115" t="n"/>
      <c r="L30" s="116" t="inlineStr">
        <is>
          <t>—</t>
        </is>
      </c>
      <c r="M30" s="117" t="n"/>
    </row>
    <row r="31" ht="15.75" customHeight="1" s="80">
      <c r="A31" s="140" t="inlineStr">
        <is>
          <t>Реалізація</t>
        </is>
      </c>
      <c r="B31" s="100" t="n"/>
      <c r="C31" s="100" t="n"/>
      <c r="D31" s="100" t="n"/>
      <c r="E31" s="100" t="n"/>
      <c r="F31" s="100" t="n"/>
      <c r="G31" s="100" t="n"/>
      <c r="H31" s="100" t="n"/>
      <c r="I31" s="100" t="n"/>
    </row>
    <row r="32" ht="15.75" customHeight="1" s="80">
      <c r="A32" s="131" t="inlineStr">
        <is>
          <t>Реалізація</t>
        </is>
      </c>
      <c r="B32" s="141" t="inlineStr">
        <is>
          <t>31.2</t>
        </is>
      </c>
      <c r="C32" s="142" t="inlineStr">
        <is>
          <t>🎯 TL LeadGen</t>
        </is>
      </c>
      <c r="D32" s="143" t="inlineStr">
        <is>
          <t>Якість лідів (avg score)</t>
        </is>
      </c>
      <c r="E32" s="144" t="inlineStr">
        <is>
          <t>≥4/5</t>
        </is>
      </c>
      <c r="F32" s="115" t="n"/>
      <c r="G32" s="145" t="inlineStr">
        <is>
          <t>—</t>
        </is>
      </c>
      <c r="H32" s="146" t="n"/>
    </row>
    <row r="33" ht="15.75" customHeight="1" s="80">
      <c r="A33" s="131" t="inlineStr">
        <is>
          <t>Реалізація</t>
        </is>
      </c>
      <c r="B33" s="141" t="inlineStr">
        <is>
          <t>32.3</t>
        </is>
      </c>
      <c r="C33" s="142" t="inlineStr">
        <is>
          <t>🎯 TL LeadGen</t>
        </is>
      </c>
      <c r="D33" s="143" t="inlineStr">
        <is>
          <t>Reply rate outreach</t>
        </is>
      </c>
      <c r="E33" s="144" t="inlineStr">
        <is>
          <t>≥8%</t>
        </is>
      </c>
      <c r="F33" s="115" t="n"/>
      <c r="G33" s="145" t="inlineStr">
        <is>
          <t>—</t>
        </is>
      </c>
      <c r="H33" s="146" t="n"/>
    </row>
    <row r="34" ht="14.25" customHeight="1" s="80">
      <c r="A34" s="131" t="inlineStr">
        <is>
          <t>Реалізація</t>
        </is>
      </c>
      <c r="B34" s="147" t="inlineStr">
        <is>
          <t>33.4</t>
        </is>
      </c>
      <c r="C34" s="148" t="inlineStr">
        <is>
          <t>📞 Lead Gen Mgr</t>
        </is>
      </c>
      <c r="D34" s="149" t="inlineStr">
        <is>
          <t>Meetings booked / менеджер</t>
        </is>
      </c>
      <c r="E34" s="150" t="inlineStr">
        <is>
          <t>≥7 шт</t>
        </is>
      </c>
      <c r="F34" s="115" t="n"/>
      <c r="G34" s="151" t="inlineStr">
        <is>
          <t>—</t>
        </is>
      </c>
      <c r="H34" s="152" t="n"/>
    </row>
    <row r="35" ht="14.25" customHeight="1" s="80">
      <c r="A35" s="108" t="inlineStr">
        <is>
          <t xml:space="preserve">   ▌   ГРОШІ</t>
        </is>
      </c>
      <c r="B35" s="153" t="n"/>
      <c r="C35" s="154" t="n"/>
      <c r="D35" s="153" t="n"/>
      <c r="E35" s="153" t="n"/>
      <c r="F35" s="153" t="n"/>
      <c r="G35" s="153" t="n"/>
      <c r="H35" s="153" t="n"/>
      <c r="I35" s="153" t="n"/>
    </row>
    <row r="36" ht="14.25" customHeight="1" s="80">
      <c r="B36" s="155" t="inlineStr">
        <is>
          <t>Гроші</t>
        </is>
      </c>
      <c r="C36" s="128" t="n">
        <v>22</v>
      </c>
      <c r="D36" s="119" t="inlineStr">
        <is>
          <t>👔 CEO</t>
        </is>
      </c>
      <c r="E36" s="120" t="inlineStr">
        <is>
          <t>Revenue план/факт (загально)</t>
        </is>
      </c>
      <c r="F36" s="121" t="inlineStr">
        <is>
          <t>план $</t>
        </is>
      </c>
      <c r="G36" s="115" t="n"/>
      <c r="H36" s="122" t="inlineStr">
        <is>
          <t>—</t>
        </is>
      </c>
      <c r="I36" s="123" t="n"/>
    </row>
    <row r="37" ht="14.25" customHeight="1" s="80">
      <c r="B37" s="155" t="inlineStr">
        <is>
          <t>Гроші</t>
        </is>
      </c>
      <c r="C37" s="132" t="n">
        <v>23</v>
      </c>
      <c r="D37" s="112" t="inlineStr">
        <is>
          <t>🤝 Sales</t>
        </is>
      </c>
      <c r="E37" s="113" t="inlineStr">
        <is>
          <t>Revenue closed / місяць</t>
        </is>
      </c>
      <c r="F37" s="114" t="inlineStr">
        <is>
          <t>план $</t>
        </is>
      </c>
      <c r="G37" s="115" t="n"/>
      <c r="H37" s="116" t="inlineStr">
        <is>
          <t>—</t>
        </is>
      </c>
      <c r="I37" s="117" t="n"/>
    </row>
    <row r="38" ht="14.25" customHeight="1" s="80">
      <c r="B38" s="155" t="inlineStr">
        <is>
          <t>Гроші</t>
        </is>
      </c>
      <c r="C38" s="134" t="n">
        <v>24</v>
      </c>
      <c r="D38" s="119" t="inlineStr">
        <is>
          <t>🤝 Sales</t>
        </is>
      </c>
      <c r="E38" s="120" t="inlineStr">
        <is>
          <t>Win rate (угод / пропозицій)</t>
        </is>
      </c>
      <c r="F38" s="121" t="inlineStr">
        <is>
          <t>≥20%</t>
        </is>
      </c>
      <c r="G38" s="115" t="n"/>
      <c r="H38" s="122" t="inlineStr">
        <is>
          <t>—</t>
        </is>
      </c>
      <c r="I38" s="123" t="n"/>
    </row>
    <row r="39" ht="14.25" customHeight="1" s="80">
      <c r="B39" s="155" t="inlineStr">
        <is>
          <t>Гроші</t>
        </is>
      </c>
      <c r="C39" s="137" t="n">
        <v>25</v>
      </c>
      <c r="D39" s="112" t="inlineStr">
        <is>
          <t>🗺️ Head of Delivery</t>
        </is>
      </c>
      <c r="E39" s="113" t="inlineStr">
        <is>
          <t>Маржа проектів (середня)</t>
        </is>
      </c>
      <c r="F39" s="136" t="inlineStr">
        <is>
          <t>≥30%</t>
        </is>
      </c>
      <c r="G39" s="115" t="n"/>
      <c r="H39" s="116" t="inlineStr">
        <is>
          <t>—</t>
        </is>
      </c>
      <c r="I39" s="117" t="n"/>
    </row>
    <row r="40" ht="15.75" customHeight="1" s="80">
      <c r="B40" s="155" t="inlineStr">
        <is>
          <t>Гроші</t>
        </is>
      </c>
      <c r="C40" s="125" t="n">
        <v>26</v>
      </c>
      <c r="D40" s="119" t="inlineStr">
        <is>
          <t>⚙️ Operations</t>
        </is>
      </c>
      <c r="E40" s="120" t="inlineStr">
        <is>
          <t>ЗП виплачено вчасно</t>
        </is>
      </c>
      <c r="F40" s="121" t="inlineStr">
        <is>
          <t>100%</t>
        </is>
      </c>
      <c r="G40" s="115" t="n"/>
      <c r="H40" s="122" t="inlineStr">
        <is>
          <t>—</t>
        </is>
      </c>
      <c r="I40" s="123" t="n"/>
    </row>
    <row r="41" ht="30" customHeight="1" s="80">
      <c r="A41" s="156" t="inlineStr">
        <is>
          <t>Гроші</t>
        </is>
      </c>
      <c r="I41" s="157" t="n"/>
    </row>
    <row r="42" ht="15.75" customHeight="1" s="80">
      <c r="B42" s="155" t="inlineStr">
        <is>
          <t>Гроші</t>
        </is>
      </c>
      <c r="C42" s="125" t="n">
        <v>28</v>
      </c>
      <c r="D42" s="119" t="inlineStr">
        <is>
          <t>⚙️ Operations</t>
        </is>
      </c>
      <c r="E42" s="120" t="inlineStr">
        <is>
          <t>Cash flow — мінімальний резерв</t>
        </is>
      </c>
      <c r="F42" s="121" t="inlineStr">
        <is>
          <t>≥2 міс</t>
        </is>
      </c>
      <c r="G42" s="115" t="n"/>
      <c r="H42" s="122" t="inlineStr">
        <is>
          <t>—</t>
        </is>
      </c>
      <c r="I42" s="123" t="n"/>
    </row>
    <row r="43" ht="15.75" customHeight="1" s="80">
      <c r="B43" s="155" t="inlineStr">
        <is>
          <t>Гроші</t>
        </is>
      </c>
      <c r="C43" s="139" t="n">
        <v>29</v>
      </c>
      <c r="D43" s="112" t="inlineStr">
        <is>
          <t>⚙️ Operations</t>
        </is>
      </c>
      <c r="E43" s="113" t="inlineStr">
        <is>
          <t>Штрафи / пені від ДПС</t>
        </is>
      </c>
      <c r="F43" s="114" t="inlineStr">
        <is>
          <t>0 грн</t>
        </is>
      </c>
      <c r="G43" s="115" t="n"/>
      <c r="H43" s="116" t="inlineStr">
        <is>
          <t>—</t>
        </is>
      </c>
      <c r="I43" s="117" t="n"/>
    </row>
    <row r="44" ht="15.75" customHeight="1" s="80">
      <c r="C44" s="158" t="n"/>
    </row>
    <row r="45" ht="34.5" customHeight="1" s="80">
      <c r="A45" s="159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100" t="n"/>
      <c r="C45" s="100" t="n"/>
      <c r="D45" s="100" t="n"/>
      <c r="E45" s="100" t="n"/>
      <c r="F45" s="100" t="n"/>
      <c r="G45" s="100" t="n"/>
      <c r="H45" s="100" t="n"/>
      <c r="I45" s="160" t="n"/>
    </row>
    <row r="46" ht="15.75" customHeight="1" s="80">
      <c r="C46" s="158" t="n"/>
    </row>
    <row r="47" ht="15.75" customHeight="1" s="80">
      <c r="C47" s="158" t="n"/>
    </row>
    <row r="48" ht="15.75" customHeight="1" s="80">
      <c r="C48" s="158" t="n"/>
    </row>
    <row r="49" ht="15.75" customHeight="1" s="80">
      <c r="C49" s="158" t="n"/>
    </row>
    <row r="50" ht="15.75" customHeight="1" s="80">
      <c r="C50" s="158" t="n"/>
    </row>
    <row r="51" ht="15.75" customHeight="1" s="80">
      <c r="C51" s="158" t="n"/>
    </row>
    <row r="52" ht="15.75" customHeight="1" s="80">
      <c r="C52" s="158" t="n"/>
    </row>
    <row r="53" ht="15.75" customHeight="1" s="80">
      <c r="C53" s="158" t="n"/>
    </row>
    <row r="54" ht="15.75" customHeight="1" s="80">
      <c r="C54" s="158" t="n"/>
    </row>
    <row r="55" ht="15.75" customHeight="1" s="80">
      <c r="C55" s="158" t="n"/>
    </row>
    <row r="56" ht="15.75" customHeight="1" s="80">
      <c r="C56" s="158" t="n"/>
    </row>
    <row r="57" ht="15.75" customHeight="1" s="80">
      <c r="C57" s="158" t="n"/>
    </row>
    <row r="58" ht="15.75" customHeight="1" s="80">
      <c r="C58" s="158" t="n"/>
    </row>
    <row r="59" ht="15.75" customHeight="1" s="80">
      <c r="C59" s="158" t="n"/>
    </row>
    <row r="60" ht="15.75" customHeight="1" s="80">
      <c r="C60" s="158" t="n"/>
    </row>
    <row r="61" ht="15.75" customHeight="1" s="80">
      <c r="C61" s="158" t="n"/>
    </row>
    <row r="62" ht="15.75" customHeight="1" s="80">
      <c r="C62" s="158" t="n"/>
    </row>
    <row r="63" ht="15.75" customHeight="1" s="80">
      <c r="C63" s="158" t="n"/>
    </row>
    <row r="64" ht="15.75" customHeight="1" s="80">
      <c r="C64" s="158" t="n"/>
    </row>
    <row r="65" ht="15.75" customHeight="1" s="80">
      <c r="C65" s="158" t="n"/>
    </row>
    <row r="66" ht="15.75" customHeight="1" s="80">
      <c r="C66" s="158" t="n"/>
    </row>
    <row r="67" ht="15.75" customHeight="1" s="80">
      <c r="C67" s="158" t="n"/>
    </row>
    <row r="68" ht="15.75" customHeight="1" s="80">
      <c r="C68" s="158" t="n"/>
    </row>
    <row r="69" ht="15.75" customHeight="1" s="80">
      <c r="C69" s="158" t="n"/>
    </row>
    <row r="70" ht="15.75" customHeight="1" s="80">
      <c r="C70" s="158" t="n"/>
    </row>
    <row r="71" ht="15.75" customHeight="1" s="80">
      <c r="C71" s="158" t="n"/>
    </row>
    <row r="72" ht="15.75" customHeight="1" s="80">
      <c r="C72" s="158" t="n"/>
    </row>
    <row r="73" ht="15.75" customHeight="1" s="80">
      <c r="C73" s="158" t="n"/>
    </row>
    <row r="74" ht="15.75" customHeight="1" s="80">
      <c r="C74" s="158" t="n"/>
    </row>
    <row r="75" ht="15.75" customHeight="1" s="80">
      <c r="C75" s="158" t="n"/>
    </row>
    <row r="76" ht="15.75" customHeight="1" s="80">
      <c r="C76" s="158" t="n"/>
    </row>
    <row r="77" ht="15.75" customHeight="1" s="80">
      <c r="C77" s="158" t="n"/>
    </row>
    <row r="78" ht="15.75" customHeight="1" s="80">
      <c r="C78" s="158" t="n"/>
    </row>
    <row r="79" ht="15.75" customHeight="1" s="80">
      <c r="C79" s="158" t="n"/>
    </row>
    <row r="80" ht="15.75" customHeight="1" s="80">
      <c r="C80" s="158" t="n"/>
    </row>
    <row r="81" ht="15.75" customHeight="1" s="80">
      <c r="C81" s="158" t="n"/>
    </row>
    <row r="82" ht="15.75" customHeight="1" s="80">
      <c r="C82" s="158" t="n"/>
    </row>
    <row r="83" ht="15.75" customHeight="1" s="80">
      <c r="C83" s="158" t="n"/>
    </row>
    <row r="84" ht="15.75" customHeight="1" s="80">
      <c r="C84" s="158" t="n"/>
    </row>
    <row r="85" ht="15.75" customHeight="1" s="80">
      <c r="C85" s="158" t="n"/>
    </row>
    <row r="86" ht="15.75" customHeight="1" s="80">
      <c r="C86" s="158" t="n"/>
    </row>
    <row r="87" ht="15.75" customHeight="1" s="80">
      <c r="C87" s="158" t="n"/>
    </row>
    <row r="88" ht="15.75" customHeight="1" s="80">
      <c r="C88" s="158" t="n"/>
    </row>
    <row r="89" ht="15.75" customHeight="1" s="80">
      <c r="C89" s="158" t="n"/>
    </row>
    <row r="90" ht="15.75" customHeight="1" s="80">
      <c r="C90" s="158" t="n"/>
    </row>
    <row r="91" ht="15.75" customHeight="1" s="80">
      <c r="C91" s="158" t="n"/>
    </row>
    <row r="92" ht="15.75" customHeight="1" s="80">
      <c r="C92" s="158" t="n"/>
    </row>
    <row r="93" ht="15.75" customHeight="1" s="80">
      <c r="C93" s="158" t="n"/>
    </row>
    <row r="94" ht="15.75" customHeight="1" s="80">
      <c r="C94" s="158" t="n"/>
    </row>
    <row r="95" ht="15.75" customHeight="1" s="80">
      <c r="C95" s="158" t="n"/>
    </row>
    <row r="96" ht="15.75" customHeight="1" s="80">
      <c r="C96" s="158" t="n"/>
    </row>
    <row r="97" ht="15.75" customHeight="1" s="80">
      <c r="C97" s="158" t="n"/>
    </row>
    <row r="98" ht="15.75" customHeight="1" s="80">
      <c r="C98" s="158" t="n"/>
    </row>
    <row r="99" ht="15.75" customHeight="1" s="80">
      <c r="C99" s="158" t="n"/>
    </row>
    <row r="100" ht="15.75" customHeight="1" s="80">
      <c r="C100" s="158" t="n"/>
    </row>
    <row r="101" ht="15.75" customHeight="1" s="80">
      <c r="C101" s="158" t="n"/>
    </row>
    <row r="102" ht="15.75" customHeight="1" s="80">
      <c r="C102" s="158" t="n"/>
    </row>
    <row r="103" ht="15.75" customHeight="1" s="80">
      <c r="C103" s="158" t="n"/>
    </row>
    <row r="104" ht="15.75" customHeight="1" s="80">
      <c r="C104" s="158" t="n"/>
    </row>
    <row r="105" ht="15.75" customHeight="1" s="80">
      <c r="C105" s="158" t="n"/>
    </row>
    <row r="106" ht="15.75" customHeight="1" s="80">
      <c r="C106" s="158" t="n"/>
    </row>
    <row r="107" ht="15.75" customHeight="1" s="80">
      <c r="C107" s="158" t="n"/>
    </row>
    <row r="108" ht="15.75" customHeight="1" s="80">
      <c r="C108" s="158" t="n"/>
    </row>
    <row r="109" ht="15.75" customHeight="1" s="80">
      <c r="C109" s="158" t="n"/>
    </row>
    <row r="110" ht="15.75" customHeight="1" s="80">
      <c r="C110" s="158" t="n"/>
    </row>
    <row r="111" ht="15.75" customHeight="1" s="80">
      <c r="C111" s="158" t="n"/>
    </row>
    <row r="112" ht="15.75" customHeight="1" s="80">
      <c r="C112" s="158" t="n"/>
    </row>
    <row r="113" ht="15.75" customHeight="1" s="80">
      <c r="C113" s="158" t="n"/>
    </row>
    <row r="114" ht="15.75" customHeight="1" s="80">
      <c r="C114" s="158" t="n"/>
    </row>
    <row r="115" ht="15.75" customHeight="1" s="80">
      <c r="C115" s="158" t="n"/>
    </row>
    <row r="116" ht="15.75" customHeight="1" s="80">
      <c r="C116" s="158" t="n"/>
    </row>
    <row r="117" ht="15.75" customHeight="1" s="80">
      <c r="C117" s="158" t="n"/>
    </row>
    <row r="118" ht="15.75" customHeight="1" s="80">
      <c r="C118" s="158" t="n"/>
    </row>
    <row r="119" ht="15.75" customHeight="1" s="80">
      <c r="C119" s="158" t="n"/>
    </row>
    <row r="120" ht="15.75" customHeight="1" s="80">
      <c r="C120" s="158" t="n"/>
    </row>
    <row r="121" ht="15.75" customHeight="1" s="80">
      <c r="C121" s="158" t="n"/>
    </row>
    <row r="122" ht="15.75" customHeight="1" s="80">
      <c r="C122" s="158" t="n"/>
    </row>
    <row r="123" ht="15.75" customHeight="1" s="80">
      <c r="C123" s="158" t="n"/>
    </row>
    <row r="124" ht="15.75" customHeight="1" s="80">
      <c r="C124" s="158" t="n"/>
    </row>
    <row r="125" ht="15.75" customHeight="1" s="80">
      <c r="C125" s="158" t="n"/>
    </row>
    <row r="126" ht="15.75" customHeight="1" s="80">
      <c r="C126" s="158" t="n"/>
    </row>
    <row r="127" ht="15.75" customHeight="1" s="80">
      <c r="C127" s="158" t="n"/>
    </row>
    <row r="128" ht="15.75" customHeight="1" s="80">
      <c r="C128" s="158" t="n"/>
    </row>
    <row r="129" ht="15.75" customHeight="1" s="80">
      <c r="C129" s="158" t="n"/>
    </row>
    <row r="130" ht="15.75" customHeight="1" s="80">
      <c r="C130" s="158" t="n"/>
    </row>
    <row r="131" ht="15.75" customHeight="1" s="80">
      <c r="C131" s="158" t="n"/>
    </row>
    <row r="132" ht="15.75" customHeight="1" s="80">
      <c r="C132" s="158" t="n"/>
    </row>
    <row r="133" ht="15.75" customHeight="1" s="80">
      <c r="C133" s="158" t="n"/>
    </row>
    <row r="134" ht="15.75" customHeight="1" s="80">
      <c r="C134" s="158" t="n"/>
    </row>
    <row r="135" ht="15.75" customHeight="1" s="80">
      <c r="C135" s="158" t="n"/>
    </row>
    <row r="136" ht="15.75" customHeight="1" s="80">
      <c r="C136" s="158" t="n"/>
    </row>
    <row r="137" ht="15.75" customHeight="1" s="80">
      <c r="C137" s="158" t="n"/>
    </row>
    <row r="138" ht="15.75" customHeight="1" s="80">
      <c r="C138" s="158" t="n"/>
    </row>
    <row r="139" ht="15.75" customHeight="1" s="80">
      <c r="C139" s="158" t="n"/>
    </row>
    <row r="140" ht="15.75" customHeight="1" s="80">
      <c r="C140" s="158" t="n"/>
    </row>
    <row r="141" ht="15.75" customHeight="1" s="80">
      <c r="C141" s="158" t="n"/>
    </row>
    <row r="142" ht="15.75" customHeight="1" s="80">
      <c r="C142" s="158" t="n"/>
    </row>
    <row r="143" ht="15.75" customHeight="1" s="80">
      <c r="C143" s="158" t="n"/>
    </row>
    <row r="144" ht="15.75" customHeight="1" s="80">
      <c r="C144" s="158" t="n"/>
    </row>
    <row r="145" ht="15.75" customHeight="1" s="80">
      <c r="C145" s="158" t="n"/>
    </row>
    <row r="146" ht="15.75" customHeight="1" s="80">
      <c r="C146" s="158" t="n"/>
    </row>
    <row r="147" ht="15.75" customHeight="1" s="80">
      <c r="C147" s="158" t="n"/>
    </row>
    <row r="148" ht="15.75" customHeight="1" s="80">
      <c r="C148" s="158" t="n"/>
    </row>
    <row r="149" ht="15.75" customHeight="1" s="80">
      <c r="C149" s="158" t="n"/>
    </row>
    <row r="150" ht="15.75" customHeight="1" s="80">
      <c r="C150" s="158" t="n"/>
    </row>
    <row r="151" ht="15.75" customHeight="1" s="80">
      <c r="C151" s="158" t="n"/>
    </row>
    <row r="152" ht="15.75" customHeight="1" s="80">
      <c r="C152" s="158" t="n"/>
    </row>
    <row r="153" ht="15.75" customHeight="1" s="80">
      <c r="C153" s="158" t="n"/>
    </row>
    <row r="154" ht="15.75" customHeight="1" s="80">
      <c r="C154" s="158" t="n"/>
    </row>
    <row r="155" ht="15.75" customHeight="1" s="80">
      <c r="C155" s="158" t="n"/>
    </row>
    <row r="156" ht="15.75" customHeight="1" s="80">
      <c r="C156" s="158" t="n"/>
    </row>
    <row r="157" ht="15.75" customHeight="1" s="80">
      <c r="C157" s="158" t="n"/>
    </row>
    <row r="158" ht="15.75" customHeight="1" s="80">
      <c r="C158" s="158" t="n"/>
    </row>
    <row r="159" ht="15.75" customHeight="1" s="80">
      <c r="C159" s="158" t="n"/>
    </row>
    <row r="160" ht="15.75" customHeight="1" s="80">
      <c r="C160" s="158" t="n"/>
    </row>
    <row r="161" ht="15.75" customHeight="1" s="80">
      <c r="C161" s="158" t="n"/>
    </row>
    <row r="162" ht="15.75" customHeight="1" s="80">
      <c r="C162" s="158" t="n"/>
    </row>
    <row r="163" ht="15.75" customHeight="1" s="80">
      <c r="C163" s="158" t="n"/>
    </row>
    <row r="164" ht="15.75" customHeight="1" s="80">
      <c r="C164" s="158" t="n"/>
    </row>
    <row r="165" ht="15.75" customHeight="1" s="80">
      <c r="C165" s="158" t="n"/>
    </row>
    <row r="166" ht="15.75" customHeight="1" s="80">
      <c r="C166" s="158" t="n"/>
    </row>
    <row r="167" ht="15.75" customHeight="1" s="80">
      <c r="C167" s="158" t="n"/>
    </row>
    <row r="168" ht="15.75" customHeight="1" s="80">
      <c r="C168" s="158" t="n"/>
    </row>
    <row r="169" ht="15.75" customHeight="1" s="80">
      <c r="C169" s="158" t="n"/>
    </row>
    <row r="170" ht="15.75" customHeight="1" s="80">
      <c r="C170" s="158" t="n"/>
    </row>
    <row r="171" ht="15.75" customHeight="1" s="80">
      <c r="C171" s="158" t="n"/>
    </row>
    <row r="172" ht="15.75" customHeight="1" s="80">
      <c r="C172" s="158" t="n"/>
    </row>
    <row r="173" ht="15.75" customHeight="1" s="80">
      <c r="C173" s="158" t="n"/>
    </row>
    <row r="174" ht="15.75" customHeight="1" s="80">
      <c r="C174" s="158" t="n"/>
    </row>
    <row r="175" ht="15.75" customHeight="1" s="80">
      <c r="C175" s="158" t="n"/>
    </row>
    <row r="176" ht="15.75" customHeight="1" s="80">
      <c r="C176" s="158" t="n"/>
    </row>
    <row r="177" ht="15.75" customHeight="1" s="80">
      <c r="C177" s="158" t="n"/>
    </row>
    <row r="178" ht="15.75" customHeight="1" s="80">
      <c r="C178" s="158" t="n"/>
    </row>
    <row r="179" ht="15.75" customHeight="1" s="80">
      <c r="C179" s="158" t="n"/>
    </row>
    <row r="180" ht="15.75" customHeight="1" s="80">
      <c r="C180" s="158" t="n"/>
    </row>
    <row r="181" ht="15.75" customHeight="1" s="80">
      <c r="C181" s="158" t="n"/>
    </row>
    <row r="182" ht="15.75" customHeight="1" s="80">
      <c r="C182" s="158" t="n"/>
    </row>
    <row r="183" ht="15.75" customHeight="1" s="80">
      <c r="C183" s="158" t="n"/>
    </row>
    <row r="184" ht="15.75" customHeight="1" s="80">
      <c r="C184" s="158" t="n"/>
    </row>
    <row r="185" ht="15.75" customHeight="1" s="80">
      <c r="C185" s="158" t="n"/>
    </row>
    <row r="186" ht="15.75" customHeight="1" s="80">
      <c r="C186" s="158" t="n"/>
    </row>
    <row r="187" ht="15.75" customHeight="1" s="80">
      <c r="C187" s="158" t="n"/>
    </row>
    <row r="188" ht="15.75" customHeight="1" s="80">
      <c r="C188" s="158" t="n"/>
    </row>
    <row r="189" ht="15.75" customHeight="1" s="80">
      <c r="C189" s="158" t="n"/>
    </row>
    <row r="190" ht="15.75" customHeight="1" s="80">
      <c r="C190" s="158" t="n"/>
    </row>
    <row r="191" ht="15.75" customHeight="1" s="80">
      <c r="C191" s="158" t="n"/>
    </row>
    <row r="192" ht="15.75" customHeight="1" s="80">
      <c r="C192" s="158" t="n"/>
    </row>
    <row r="193" ht="15.75" customHeight="1" s="80">
      <c r="C193" s="158" t="n"/>
    </row>
    <row r="194" ht="15.75" customHeight="1" s="80">
      <c r="C194" s="158" t="n"/>
    </row>
    <row r="195" ht="15.75" customHeight="1" s="80">
      <c r="C195" s="158" t="n"/>
    </row>
    <row r="196" ht="15.75" customHeight="1" s="80">
      <c r="C196" s="158" t="n"/>
    </row>
    <row r="197" ht="15.75" customHeight="1" s="80">
      <c r="C197" s="158" t="n"/>
    </row>
    <row r="198" ht="15.75" customHeight="1" s="80">
      <c r="C198" s="158" t="n"/>
    </row>
    <row r="199" ht="15.75" customHeight="1" s="80">
      <c r="C199" s="158" t="n"/>
    </row>
    <row r="200" ht="15.75" customHeight="1" s="80">
      <c r="C200" s="158" t="n"/>
    </row>
    <row r="201" ht="15.75" customHeight="1" s="80">
      <c r="C201" s="158" t="n"/>
    </row>
    <row r="202" ht="15.75" customHeight="1" s="80">
      <c r="C202" s="158" t="n"/>
    </row>
    <row r="203" ht="15.75" customHeight="1" s="80">
      <c r="C203" s="158" t="n"/>
    </row>
    <row r="204" ht="15.75" customHeight="1" s="80">
      <c r="C204" s="158" t="n"/>
    </row>
    <row r="205" ht="15.75" customHeight="1" s="80">
      <c r="C205" s="158" t="n"/>
    </row>
    <row r="206" ht="15.75" customHeight="1" s="80">
      <c r="C206" s="158" t="n"/>
    </row>
    <row r="207" ht="15.75" customHeight="1" s="80">
      <c r="C207" s="158" t="n"/>
    </row>
    <row r="208" ht="15.75" customHeight="1" s="80">
      <c r="C208" s="158" t="n"/>
    </row>
    <row r="209" ht="15.75" customHeight="1" s="80">
      <c r="C209" s="158" t="n"/>
    </row>
    <row r="210" ht="15.75" customHeight="1" s="80">
      <c r="C210" s="158" t="n"/>
    </row>
    <row r="211" ht="15.75" customHeight="1" s="80">
      <c r="C211" s="158" t="n"/>
    </row>
    <row r="212" ht="15.75" customHeight="1" s="80">
      <c r="C212" s="158" t="n"/>
    </row>
    <row r="213" ht="15.75" customHeight="1" s="80">
      <c r="C213" s="158" t="n"/>
    </row>
    <row r="214" ht="15.75" customHeight="1" s="80">
      <c r="C214" s="158" t="n"/>
    </row>
    <row r="215" ht="15.75" customHeight="1" s="80">
      <c r="C215" s="158" t="n"/>
    </row>
    <row r="216" ht="15.75" customHeight="1" s="80">
      <c r="C216" s="158" t="n"/>
    </row>
    <row r="217" ht="15.75" customHeight="1" s="80">
      <c r="C217" s="158" t="n"/>
    </row>
    <row r="218" ht="15.75" customHeight="1" s="80">
      <c r="C218" s="158" t="n"/>
    </row>
    <row r="219" ht="15.75" customHeight="1" s="80">
      <c r="C219" s="158" t="n"/>
    </row>
    <row r="220" ht="15.75" customHeight="1" s="80">
      <c r="C220" s="158" t="n"/>
    </row>
    <row r="221" ht="15.75" customHeight="1" s="80">
      <c r="C221" s="158" t="n"/>
    </row>
    <row r="222" ht="15.75" customHeight="1" s="80">
      <c r="C222" s="158" t="n"/>
    </row>
    <row r="223" ht="15.75" customHeight="1" s="80">
      <c r="C223" s="158" t="n"/>
    </row>
    <row r="224" ht="15.75" customHeight="1" s="80">
      <c r="C224" s="158" t="n"/>
    </row>
    <row r="225" ht="15.75" customHeight="1" s="80">
      <c r="C225" s="158" t="n"/>
    </row>
    <row r="226" ht="15.75" customHeight="1" s="80">
      <c r="C226" s="158" t="n"/>
    </row>
    <row r="227" ht="15.75" customHeight="1" s="80">
      <c r="C227" s="158" t="n"/>
    </row>
    <row r="228" ht="15.75" customHeight="1" s="80">
      <c r="C228" s="158" t="n"/>
    </row>
    <row r="229" ht="15.75" customHeight="1" s="80">
      <c r="C229" s="158" t="n"/>
    </row>
    <row r="230" ht="15.75" customHeight="1" s="80">
      <c r="C230" s="158" t="n"/>
    </row>
    <row r="231" ht="15.75" customHeight="1" s="80">
      <c r="C231" s="158" t="n"/>
    </row>
    <row r="232" ht="15.75" customHeight="1" s="80">
      <c r="C232" s="158" t="n"/>
    </row>
    <row r="233" ht="15.75" customHeight="1" s="80">
      <c r="C233" s="158" t="n"/>
    </row>
    <row r="234" ht="15.75" customHeight="1" s="80">
      <c r="C234" s="158" t="n"/>
    </row>
    <row r="235" ht="15.75" customHeight="1" s="80">
      <c r="C235" s="158" t="n"/>
    </row>
    <row r="236" ht="15.75" customHeight="1" s="80">
      <c r="C236" s="158" t="n"/>
    </row>
    <row r="237" ht="15.75" customHeight="1" s="80">
      <c r="C237" s="158" t="n"/>
    </row>
    <row r="238" ht="15.75" customHeight="1" s="80">
      <c r="C238" s="158" t="n"/>
    </row>
    <row r="239" ht="15.75" customHeight="1" s="80">
      <c r="C239" s="158" t="n"/>
    </row>
    <row r="240" ht="15.75" customHeight="1" s="80">
      <c r="C240" s="158" t="n"/>
    </row>
    <row r="241" ht="15.75" customHeight="1" s="80">
      <c r="C241" s="158" t="n"/>
    </row>
    <row r="242" ht="15.75" customHeight="1" s="80">
      <c r="C242" s="158" t="n"/>
    </row>
    <row r="243" ht="15.75" customHeight="1" s="80">
      <c r="C243" s="158" t="n"/>
    </row>
    <row r="244" ht="15.75" customHeight="1" s="80">
      <c r="C244" s="158" t="n"/>
    </row>
    <row r="245" ht="15.75" customHeight="1" s="80">
      <c r="C245" s="158" t="n"/>
    </row>
    <row r="246" ht="14.25" customHeight="1" s="80">
      <c r="C246" s="158" t="n"/>
    </row>
    <row r="247" ht="14.25" customHeight="1" s="80">
      <c r="C247" s="158" t="n"/>
    </row>
    <row r="248" ht="14.25" customHeight="1" s="80">
      <c r="C248" s="158" t="n"/>
    </row>
    <row r="249" ht="14.25" customHeight="1" s="80">
      <c r="C249" s="158" t="n"/>
    </row>
    <row r="250" ht="14.25" customHeight="1" s="80">
      <c r="C250" s="158" t="n"/>
    </row>
    <row r="251" ht="14.25" customHeight="1" s="80">
      <c r="C251" s="158" t="n"/>
    </row>
    <row r="252" ht="14.25" customHeight="1" s="80">
      <c r="C252" s="158" t="n"/>
    </row>
    <row r="253" ht="14.25" customHeight="1" s="80">
      <c r="C253" s="158" t="n"/>
    </row>
    <row r="254" ht="14.25" customHeight="1" s="80">
      <c r="C254" s="158" t="n"/>
    </row>
    <row r="255" ht="14.25" customHeight="1" s="80">
      <c r="C255" s="158" t="n"/>
    </row>
    <row r="256" ht="14.25" customHeight="1" s="80">
      <c r="C256" s="158" t="n"/>
    </row>
    <row r="257" ht="14.25" customHeight="1" s="80">
      <c r="C257" s="158" t="n"/>
    </row>
    <row r="258" ht="14.25" customHeight="1" s="80">
      <c r="C258" s="158" t="n"/>
    </row>
    <row r="259" ht="14.25" customHeight="1" s="80">
      <c r="C259" s="158" t="n"/>
    </row>
    <row r="260" ht="14.25" customHeight="1" s="80">
      <c r="C260" s="158" t="n"/>
    </row>
    <row r="261" ht="14.25" customHeight="1" s="80">
      <c r="C261" s="158" t="n"/>
    </row>
    <row r="262" ht="14.25" customHeight="1" s="80">
      <c r="C262" s="158" t="n"/>
    </row>
    <row r="263" ht="14.25" customHeight="1" s="80">
      <c r="C263" s="158" t="n"/>
    </row>
    <row r="264" ht="14.25" customHeight="1" s="80">
      <c r="C264" s="158" t="n"/>
    </row>
    <row r="265" ht="14.25" customHeight="1" s="80">
      <c r="C265" s="158" t="n"/>
    </row>
    <row r="266" ht="14.25" customHeight="1" s="80">
      <c r="C266" s="158" t="n"/>
    </row>
    <row r="267" ht="14.25" customHeight="1" s="80">
      <c r="C267" s="158" t="n"/>
    </row>
    <row r="268" ht="14.25" customHeight="1" s="80">
      <c r="C268" s="158" t="n"/>
    </row>
    <row r="269" ht="14.25" customHeight="1" s="80">
      <c r="C269" s="158" t="n"/>
    </row>
    <row r="270" ht="14.25" customHeight="1" s="80">
      <c r="C270" s="158" t="n"/>
    </row>
    <row r="271" ht="14.25" customHeight="1" s="80">
      <c r="C271" s="158" t="n"/>
    </row>
    <row r="272" ht="14.25" customHeight="1" s="80">
      <c r="C272" s="158" t="n"/>
    </row>
    <row r="273" ht="14.25" customHeight="1" s="80">
      <c r="C273" s="158" t="n"/>
    </row>
    <row r="274" ht="14.25" customHeight="1" s="80">
      <c r="C274" s="158" t="n"/>
    </row>
    <row r="275" ht="14.25" customHeight="1" s="80">
      <c r="C275" s="158" t="n"/>
    </row>
    <row r="276" ht="14.25" customHeight="1" s="80">
      <c r="C276" s="158" t="n"/>
    </row>
    <row r="277" ht="14.25" customHeight="1" s="80">
      <c r="C277" s="158" t="n"/>
    </row>
    <row r="278" ht="14.25" customHeight="1" s="80">
      <c r="C278" s="158" t="n"/>
    </row>
    <row r="279" ht="14.25" customHeight="1" s="80">
      <c r="C279" s="158" t="n"/>
    </row>
    <row r="280" ht="14.25" customHeight="1" s="80">
      <c r="C280" s="158" t="n"/>
    </row>
    <row r="281" ht="14.25" customHeight="1" s="80">
      <c r="C281" s="158" t="n"/>
    </row>
    <row r="282" ht="14.25" customHeight="1" s="80">
      <c r="C282" s="158" t="n"/>
    </row>
    <row r="283" ht="14.25" customHeight="1" s="80">
      <c r="C283" s="158" t="n"/>
    </row>
    <row r="284" ht="14.25" customHeight="1" s="80">
      <c r="C284" s="158" t="n"/>
    </row>
    <row r="285" ht="14.25" customHeight="1" s="80">
      <c r="C285" s="158" t="n"/>
    </row>
    <row r="286" ht="14.25" customHeight="1" s="80">
      <c r="C286" s="158" t="n"/>
    </row>
    <row r="287" ht="14.25" customHeight="1" s="80">
      <c r="C287" s="158" t="n"/>
    </row>
    <row r="288" ht="14.25" customHeight="1" s="80">
      <c r="C288" s="158" t="n"/>
    </row>
    <row r="289" ht="14.25" customHeight="1" s="80">
      <c r="C289" s="158" t="n"/>
    </row>
    <row r="290" ht="14.25" customHeight="1" s="80">
      <c r="C290" s="158" t="n"/>
    </row>
    <row r="291" ht="14.25" customHeight="1" s="80">
      <c r="C291" s="158" t="n"/>
    </row>
    <row r="292" ht="14.25" customHeight="1" s="80">
      <c r="C292" s="158" t="n"/>
    </row>
    <row r="293" ht="14.25" customHeight="1" s="80">
      <c r="C293" s="158" t="n"/>
    </row>
    <row r="294" ht="14.25" customHeight="1" s="80">
      <c r="C294" s="158" t="n"/>
    </row>
    <row r="295" ht="14.25" customHeight="1" s="80">
      <c r="C295" s="158" t="n"/>
    </row>
    <row r="296" ht="14.25" customHeight="1" s="80">
      <c r="C296" s="158" t="n"/>
    </row>
    <row r="297" ht="14.25" customHeight="1" s="80">
      <c r="C297" s="158" t="n"/>
    </row>
    <row r="298" ht="14.25" customHeight="1" s="80">
      <c r="C298" s="158" t="n"/>
    </row>
    <row r="299" ht="14.25" customHeight="1" s="80">
      <c r="C299" s="158" t="n"/>
    </row>
    <row r="300" ht="14.25" customHeight="1" s="80">
      <c r="C300" s="158" t="n"/>
    </row>
    <row r="301" ht="14.25" customHeight="1" s="80">
      <c r="C301" s="158" t="n"/>
    </row>
    <row r="302" ht="14.25" customHeight="1" s="80">
      <c r="C302" s="158" t="n"/>
    </row>
    <row r="303" ht="14.25" customHeight="1" s="80">
      <c r="C303" s="158" t="n"/>
    </row>
    <row r="304" ht="14.25" customHeight="1" s="80">
      <c r="C304" s="158" t="n"/>
    </row>
    <row r="305" ht="14.25" customHeight="1" s="80">
      <c r="C305" s="158" t="n"/>
    </row>
    <row r="306" ht="14.25" customHeight="1" s="80">
      <c r="C306" s="158" t="n"/>
    </row>
    <row r="307" ht="14.25" customHeight="1" s="80">
      <c r="C307" s="158" t="n"/>
    </row>
    <row r="308" ht="14.25" customHeight="1" s="80">
      <c r="C308" s="158" t="n"/>
    </row>
    <row r="309" ht="14.25" customHeight="1" s="80">
      <c r="C309" s="158" t="n"/>
    </row>
    <row r="310" ht="14.25" customHeight="1" s="80">
      <c r="C310" s="158" t="n"/>
    </row>
    <row r="311" ht="14.25" customHeight="1" s="80">
      <c r="C311" s="158" t="n"/>
    </row>
    <row r="312" ht="14.25" customHeight="1" s="80">
      <c r="C312" s="158" t="n"/>
    </row>
    <row r="313" ht="14.25" customHeight="1" s="80">
      <c r="C313" s="158" t="n"/>
    </row>
    <row r="314" ht="14.25" customHeight="1" s="80">
      <c r="C314" s="158" t="n"/>
    </row>
    <row r="315" ht="14.25" customHeight="1" s="80">
      <c r="C315" s="158" t="n"/>
    </row>
    <row r="316" ht="14.25" customHeight="1" s="80">
      <c r="C316" s="158" t="n"/>
    </row>
    <row r="317" ht="14.25" customHeight="1" s="80">
      <c r="C317" s="158" t="n"/>
    </row>
    <row r="318" ht="14.25" customHeight="1" s="80">
      <c r="C318" s="158" t="n"/>
    </row>
    <row r="319" ht="14.25" customHeight="1" s="80">
      <c r="C319" s="158" t="n"/>
    </row>
    <row r="320" ht="14.25" customHeight="1" s="80">
      <c r="C320" s="158" t="n"/>
    </row>
    <row r="321" ht="14.25" customHeight="1" s="80">
      <c r="C321" s="158" t="n"/>
    </row>
    <row r="322" ht="14.25" customHeight="1" s="80">
      <c r="C322" s="158" t="n"/>
    </row>
    <row r="323" ht="14.25" customHeight="1" s="80">
      <c r="C323" s="158" t="n"/>
    </row>
    <row r="324" ht="14.25" customHeight="1" s="80">
      <c r="C324" s="158" t="n"/>
    </row>
    <row r="325" ht="14.25" customHeight="1" s="80">
      <c r="C325" s="158" t="n"/>
    </row>
    <row r="326" ht="14.25" customHeight="1" s="80">
      <c r="C326" s="158" t="n"/>
    </row>
    <row r="327" ht="14.25" customHeight="1" s="80">
      <c r="C327" s="158" t="n"/>
    </row>
    <row r="328" ht="14.25" customHeight="1" s="80">
      <c r="C328" s="158" t="n"/>
    </row>
    <row r="329" ht="14.25" customHeight="1" s="80">
      <c r="C329" s="158" t="n"/>
    </row>
    <row r="330" ht="14.25" customHeight="1" s="80">
      <c r="C330" s="158" t="n"/>
    </row>
    <row r="331" ht="14.25" customHeight="1" s="80">
      <c r="C331" s="158" t="n"/>
    </row>
    <row r="332" ht="14.25" customHeight="1" s="80">
      <c r="C332" s="158" t="n"/>
    </row>
    <row r="333" ht="14.25" customHeight="1" s="80">
      <c r="C333" s="158" t="n"/>
    </row>
    <row r="334" ht="14.25" customHeight="1" s="80">
      <c r="C334" s="158" t="n"/>
    </row>
    <row r="335" ht="14.25" customHeight="1" s="80">
      <c r="C335" s="158" t="n"/>
    </row>
    <row r="336" ht="14.25" customHeight="1" s="80">
      <c r="C336" s="158" t="n"/>
    </row>
    <row r="337" ht="14.25" customHeight="1" s="80">
      <c r="C337" s="158" t="n"/>
    </row>
    <row r="338" ht="14.25" customHeight="1" s="80">
      <c r="C338" s="158" t="n"/>
    </row>
    <row r="339" ht="14.25" customHeight="1" s="80">
      <c r="C339" s="158" t="n"/>
    </row>
    <row r="340" ht="14.25" customHeight="1" s="80">
      <c r="C340" s="158" t="n"/>
    </row>
    <row r="341" ht="14.25" customHeight="1" s="80">
      <c r="C341" s="158" t="n"/>
    </row>
    <row r="342" ht="14.25" customHeight="1" s="80">
      <c r="C342" s="158" t="n"/>
    </row>
    <row r="343" ht="14.25" customHeight="1" s="80">
      <c r="C343" s="158" t="n"/>
    </row>
    <row r="344" ht="14.25" customHeight="1" s="80">
      <c r="C344" s="158" t="n"/>
    </row>
    <row r="345" ht="14.25" customHeight="1" s="80">
      <c r="C345" s="158" t="n"/>
    </row>
    <row r="346" ht="14.25" customHeight="1" s="80">
      <c r="C346" s="158" t="n"/>
    </row>
    <row r="347" ht="14.25" customHeight="1" s="80">
      <c r="C347" s="158" t="n"/>
    </row>
    <row r="348" ht="14.25" customHeight="1" s="80">
      <c r="C348" s="158" t="n"/>
    </row>
    <row r="349" ht="14.25" customHeight="1" s="80">
      <c r="C349" s="158" t="n"/>
    </row>
    <row r="350" ht="14.25" customHeight="1" s="80">
      <c r="C350" s="158" t="n"/>
    </row>
    <row r="351" ht="14.25" customHeight="1" s="80">
      <c r="C351" s="158" t="n"/>
    </row>
    <row r="352" ht="14.25" customHeight="1" s="80">
      <c r="C352" s="158" t="n"/>
    </row>
    <row r="353" ht="14.25" customHeight="1" s="80">
      <c r="C353" s="158" t="n"/>
    </row>
    <row r="354" ht="14.25" customHeight="1" s="80">
      <c r="C354" s="158" t="n"/>
    </row>
    <row r="355" ht="14.25" customHeight="1" s="80">
      <c r="C355" s="158" t="n"/>
    </row>
    <row r="356" ht="14.25" customHeight="1" s="80">
      <c r="C356" s="158" t="n"/>
    </row>
    <row r="357" ht="14.25" customHeight="1" s="80">
      <c r="C357" s="158" t="n"/>
    </row>
    <row r="358" ht="14.25" customHeight="1" s="80">
      <c r="C358" s="158" t="n"/>
    </row>
    <row r="359" ht="14.25" customHeight="1" s="80">
      <c r="C359" s="158" t="n"/>
    </row>
    <row r="360" ht="14.25" customHeight="1" s="80">
      <c r="C360" s="158" t="n"/>
    </row>
    <row r="361" ht="14.25" customHeight="1" s="80">
      <c r="C361" s="158" t="n"/>
    </row>
    <row r="362" ht="14.25" customHeight="1" s="80">
      <c r="C362" s="158" t="n"/>
    </row>
    <row r="363" ht="14.25" customHeight="1" s="80">
      <c r="C363" s="158" t="n"/>
    </row>
    <row r="364" ht="14.25" customHeight="1" s="80">
      <c r="C364" s="158" t="n"/>
    </row>
    <row r="365" ht="14.25" customHeight="1" s="80">
      <c r="C365" s="158" t="n"/>
    </row>
    <row r="366" ht="14.25" customHeight="1" s="80">
      <c r="C366" s="158" t="n"/>
    </row>
    <row r="367" ht="14.25" customHeight="1" s="80">
      <c r="C367" s="158" t="n"/>
    </row>
    <row r="368" ht="14.25" customHeight="1" s="80">
      <c r="C368" s="158" t="n"/>
    </row>
    <row r="369" ht="14.25" customHeight="1" s="80">
      <c r="C369" s="158" t="n"/>
    </row>
    <row r="370" ht="14.25" customHeight="1" s="80">
      <c r="C370" s="158" t="n"/>
    </row>
    <row r="371" ht="14.25" customHeight="1" s="80">
      <c r="C371" s="158" t="n"/>
    </row>
    <row r="372" ht="14.25" customHeight="1" s="80">
      <c r="C372" s="158" t="n"/>
    </row>
    <row r="373" ht="14.25" customHeight="1" s="80">
      <c r="C373" s="158" t="n"/>
    </row>
    <row r="374" ht="14.25" customHeight="1" s="80">
      <c r="C374" s="158" t="n"/>
    </row>
    <row r="375" ht="14.25" customHeight="1" s="80">
      <c r="C375" s="158" t="n"/>
    </row>
    <row r="376" ht="14.25" customHeight="1" s="80">
      <c r="C376" s="158" t="n"/>
    </row>
    <row r="377" ht="14.25" customHeight="1" s="80">
      <c r="C377" s="158" t="n"/>
    </row>
    <row r="378" ht="14.25" customHeight="1" s="80">
      <c r="C378" s="158" t="n"/>
    </row>
    <row r="379" ht="14.25" customHeight="1" s="80">
      <c r="C379" s="158" t="n"/>
    </row>
    <row r="380" ht="14.25" customHeight="1" s="80">
      <c r="C380" s="158" t="n"/>
    </row>
    <row r="381" ht="14.25" customHeight="1" s="80">
      <c r="C381" s="158" t="n"/>
    </row>
    <row r="382" ht="14.25" customHeight="1" s="80">
      <c r="C382" s="158" t="n"/>
    </row>
    <row r="383" ht="14.25" customHeight="1" s="80">
      <c r="C383" s="158" t="n"/>
    </row>
    <row r="384" ht="14.25" customHeight="1" s="80">
      <c r="C384" s="158" t="n"/>
    </row>
    <row r="385" ht="14.25" customHeight="1" s="80">
      <c r="C385" s="158" t="n"/>
    </row>
    <row r="386" ht="14.25" customHeight="1" s="80">
      <c r="C386" s="158" t="n"/>
    </row>
    <row r="387" ht="14.25" customHeight="1" s="80">
      <c r="C387" s="158" t="n"/>
    </row>
    <row r="388" ht="14.25" customHeight="1" s="80">
      <c r="C388" s="158" t="n"/>
    </row>
    <row r="389" ht="14.25" customHeight="1" s="80">
      <c r="C389" s="158" t="n"/>
    </row>
    <row r="390" ht="14.25" customHeight="1" s="80">
      <c r="C390" s="158" t="n"/>
    </row>
    <row r="391" ht="14.25" customHeight="1" s="80">
      <c r="C391" s="158" t="n"/>
    </row>
    <row r="392" ht="14.25" customHeight="1" s="80">
      <c r="C392" s="158" t="n"/>
    </row>
    <row r="393" ht="14.25" customHeight="1" s="80">
      <c r="C393" s="158" t="n"/>
    </row>
    <row r="394" ht="14.25" customHeight="1" s="80">
      <c r="C394" s="158" t="n"/>
    </row>
    <row r="395" ht="14.25" customHeight="1" s="80">
      <c r="C395" s="158" t="n"/>
    </row>
    <row r="396" ht="14.25" customHeight="1" s="80">
      <c r="C396" s="158" t="n"/>
    </row>
    <row r="397" ht="14.25" customHeight="1" s="80">
      <c r="C397" s="158" t="n"/>
    </row>
    <row r="398" ht="14.25" customHeight="1" s="80">
      <c r="C398" s="158" t="n"/>
    </row>
    <row r="399" ht="14.25" customHeight="1" s="80">
      <c r="C399" s="158" t="n"/>
    </row>
    <row r="400" ht="14.25" customHeight="1" s="80">
      <c r="C400" s="158" t="n"/>
    </row>
    <row r="401" ht="14.25" customHeight="1" s="80">
      <c r="C401" s="158" t="n"/>
    </row>
    <row r="402" ht="14.25" customHeight="1" s="80">
      <c r="C402" s="158" t="n"/>
    </row>
    <row r="403" ht="14.25" customHeight="1" s="80">
      <c r="C403" s="158" t="n"/>
    </row>
    <row r="404" ht="14.25" customHeight="1" s="80">
      <c r="C404" s="158" t="n"/>
    </row>
    <row r="405" ht="14.25" customHeight="1" s="80">
      <c r="C405" s="158" t="n"/>
    </row>
    <row r="406" ht="14.25" customHeight="1" s="80">
      <c r="C406" s="158" t="n"/>
    </row>
    <row r="407" ht="14.25" customHeight="1" s="80">
      <c r="C407" s="158" t="n"/>
    </row>
    <row r="408" ht="14.25" customHeight="1" s="80">
      <c r="C408" s="158" t="n"/>
    </row>
    <row r="409" ht="14.25" customHeight="1" s="80">
      <c r="C409" s="158" t="n"/>
    </row>
    <row r="410" ht="14.25" customHeight="1" s="80">
      <c r="C410" s="158" t="n"/>
    </row>
    <row r="411" ht="14.25" customHeight="1" s="80">
      <c r="C411" s="158" t="n"/>
    </row>
    <row r="412" ht="14.25" customHeight="1" s="80">
      <c r="C412" s="158" t="n"/>
    </row>
    <row r="413" ht="14.25" customHeight="1" s="80">
      <c r="C413" s="158" t="n"/>
    </row>
    <row r="414" ht="14.25" customHeight="1" s="80">
      <c r="C414" s="158" t="n"/>
    </row>
    <row r="415" ht="14.25" customHeight="1" s="80">
      <c r="C415" s="158" t="n"/>
    </row>
    <row r="416" ht="14.25" customHeight="1" s="80">
      <c r="C416" s="158" t="n"/>
    </row>
    <row r="417" ht="14.25" customHeight="1" s="80">
      <c r="C417" s="158" t="n"/>
    </row>
    <row r="418" ht="14.25" customHeight="1" s="80">
      <c r="C418" s="158" t="n"/>
    </row>
    <row r="419" ht="14.25" customHeight="1" s="80">
      <c r="C419" s="158" t="n"/>
    </row>
    <row r="420" ht="14.25" customHeight="1" s="80">
      <c r="C420" s="158" t="n"/>
    </row>
    <row r="421" ht="14.25" customHeight="1" s="80">
      <c r="C421" s="158" t="n"/>
    </row>
    <row r="422" ht="14.25" customHeight="1" s="80">
      <c r="C422" s="158" t="n"/>
    </row>
    <row r="423" ht="14.25" customHeight="1" s="80">
      <c r="C423" s="158" t="n"/>
    </row>
    <row r="424" ht="14.25" customHeight="1" s="80">
      <c r="C424" s="158" t="n"/>
    </row>
    <row r="425" ht="14.25" customHeight="1" s="80">
      <c r="C425" s="158" t="n"/>
    </row>
    <row r="426" ht="14.25" customHeight="1" s="80">
      <c r="C426" s="158" t="n"/>
    </row>
    <row r="427" ht="14.25" customHeight="1" s="80">
      <c r="C427" s="158" t="n"/>
    </row>
    <row r="428" ht="14.25" customHeight="1" s="80">
      <c r="C428" s="158" t="n"/>
    </row>
    <row r="429" ht="14.25" customHeight="1" s="80">
      <c r="C429" s="158" t="n"/>
    </row>
    <row r="430" ht="14.25" customHeight="1" s="80">
      <c r="C430" s="158" t="n"/>
    </row>
    <row r="431" ht="14.25" customHeight="1" s="80">
      <c r="C431" s="158" t="n"/>
    </row>
    <row r="432" ht="14.25" customHeight="1" s="80">
      <c r="C432" s="158" t="n"/>
    </row>
    <row r="433" ht="14.25" customHeight="1" s="80">
      <c r="C433" s="158" t="n"/>
    </row>
    <row r="434" ht="14.25" customHeight="1" s="80">
      <c r="C434" s="158" t="n"/>
    </row>
    <row r="435" ht="14.25" customHeight="1" s="80">
      <c r="C435" s="158" t="n"/>
    </row>
    <row r="436" ht="14.25" customHeight="1" s="80">
      <c r="C436" s="158" t="n"/>
    </row>
    <row r="437" ht="14.25" customHeight="1" s="80">
      <c r="C437" s="158" t="n"/>
    </row>
    <row r="438" ht="14.25" customHeight="1" s="80">
      <c r="C438" s="158" t="n"/>
    </row>
    <row r="439" ht="14.25" customHeight="1" s="80">
      <c r="C439" s="158" t="n"/>
    </row>
    <row r="440" ht="14.25" customHeight="1" s="80">
      <c r="C440" s="158" t="n"/>
    </row>
    <row r="441" ht="14.25" customHeight="1" s="80">
      <c r="C441" s="158" t="n"/>
    </row>
    <row r="442" ht="14.25" customHeight="1" s="80">
      <c r="C442" s="158" t="n"/>
    </row>
    <row r="443" ht="14.25" customHeight="1" s="80">
      <c r="C443" s="158" t="n"/>
    </row>
    <row r="444" ht="14.25" customHeight="1" s="80">
      <c r="C444" s="158" t="n"/>
    </row>
    <row r="445" ht="14.25" customHeight="1" s="80">
      <c r="C445" s="158" t="n"/>
    </row>
    <row r="446" ht="14.25" customHeight="1" s="80">
      <c r="C446" s="158" t="n"/>
    </row>
    <row r="447" ht="14.25" customHeight="1" s="80">
      <c r="C447" s="158" t="n"/>
    </row>
    <row r="448" ht="14.25" customHeight="1" s="80">
      <c r="C448" s="158" t="n"/>
    </row>
    <row r="449" ht="14.25" customHeight="1" s="80">
      <c r="C449" s="158" t="n"/>
    </row>
    <row r="450" ht="14.25" customHeight="1" s="80">
      <c r="C450" s="158" t="n"/>
    </row>
    <row r="451" ht="14.25" customHeight="1" s="80">
      <c r="C451" s="158" t="n"/>
    </row>
    <row r="452" ht="14.25" customHeight="1" s="80">
      <c r="C452" s="158" t="n"/>
    </row>
    <row r="453" ht="14.25" customHeight="1" s="80">
      <c r="C453" s="158" t="n"/>
    </row>
    <row r="454" ht="14.25" customHeight="1" s="80">
      <c r="C454" s="158" t="n"/>
    </row>
    <row r="455" ht="14.25" customHeight="1" s="80">
      <c r="C455" s="158" t="n"/>
    </row>
    <row r="456" ht="14.25" customHeight="1" s="80">
      <c r="C456" s="158" t="n"/>
    </row>
    <row r="457" ht="14.25" customHeight="1" s="80">
      <c r="C457" s="158" t="n"/>
    </row>
    <row r="458" ht="14.25" customHeight="1" s="80">
      <c r="C458" s="158" t="n"/>
    </row>
    <row r="459" ht="14.25" customHeight="1" s="80">
      <c r="C459" s="158" t="n"/>
    </row>
    <row r="460" ht="14.25" customHeight="1" s="80">
      <c r="C460" s="158" t="n"/>
    </row>
    <row r="461" ht="14.25" customHeight="1" s="80">
      <c r="C461" s="158" t="n"/>
    </row>
    <row r="462" ht="14.25" customHeight="1" s="80">
      <c r="C462" s="158" t="n"/>
    </row>
    <row r="463" ht="14.25" customHeight="1" s="80">
      <c r="C463" s="158" t="n"/>
    </row>
    <row r="464" ht="14.25" customHeight="1" s="80">
      <c r="C464" s="158" t="n"/>
    </row>
    <row r="465" ht="14.25" customHeight="1" s="80">
      <c r="C465" s="158" t="n"/>
    </row>
    <row r="466" ht="14.25" customHeight="1" s="80">
      <c r="C466" s="158" t="n"/>
    </row>
    <row r="467" ht="14.25" customHeight="1" s="80">
      <c r="C467" s="158" t="n"/>
    </row>
    <row r="468" ht="14.25" customHeight="1" s="80">
      <c r="C468" s="158" t="n"/>
    </row>
    <row r="469" ht="14.25" customHeight="1" s="80">
      <c r="C469" s="158" t="n"/>
    </row>
    <row r="470" ht="14.25" customHeight="1" s="80">
      <c r="C470" s="158" t="n"/>
    </row>
    <row r="471" ht="14.25" customHeight="1" s="80">
      <c r="C471" s="158" t="n"/>
    </row>
    <row r="472" ht="14.25" customHeight="1" s="80">
      <c r="C472" s="158" t="n"/>
    </row>
    <row r="473" ht="14.25" customHeight="1" s="80">
      <c r="C473" s="158" t="n"/>
    </row>
    <row r="474" ht="14.25" customHeight="1" s="80">
      <c r="C474" s="158" t="n"/>
    </row>
    <row r="475" ht="14.25" customHeight="1" s="80">
      <c r="C475" s="158" t="n"/>
    </row>
    <row r="476" ht="14.25" customHeight="1" s="80">
      <c r="C476" s="158" t="n"/>
    </row>
    <row r="477" ht="14.25" customHeight="1" s="80">
      <c r="C477" s="158" t="n"/>
    </row>
    <row r="478" ht="14.25" customHeight="1" s="80">
      <c r="C478" s="158" t="n"/>
    </row>
    <row r="479" ht="14.25" customHeight="1" s="80">
      <c r="C479" s="158" t="n"/>
    </row>
    <row r="480" ht="14.25" customHeight="1" s="80">
      <c r="C480" s="158" t="n"/>
    </row>
    <row r="481" ht="14.25" customHeight="1" s="80">
      <c r="C481" s="158" t="n"/>
    </row>
    <row r="482" ht="14.25" customHeight="1" s="80">
      <c r="C482" s="158" t="n"/>
    </row>
    <row r="483" ht="14.25" customHeight="1" s="80">
      <c r="C483" s="158" t="n"/>
    </row>
    <row r="484" ht="14.25" customHeight="1" s="80">
      <c r="C484" s="158" t="n"/>
    </row>
    <row r="485" ht="14.25" customHeight="1" s="80">
      <c r="C485" s="158" t="n"/>
    </row>
    <row r="486" ht="14.25" customHeight="1" s="80">
      <c r="C486" s="158" t="n"/>
    </row>
    <row r="487" ht="14.25" customHeight="1" s="80">
      <c r="C487" s="158" t="n"/>
    </row>
    <row r="488" ht="14.25" customHeight="1" s="80">
      <c r="C488" s="158" t="n"/>
    </row>
    <row r="489" ht="14.25" customHeight="1" s="80">
      <c r="C489" s="158" t="n"/>
    </row>
    <row r="490" ht="14.25" customHeight="1" s="80">
      <c r="C490" s="158" t="n"/>
    </row>
    <row r="491" ht="14.25" customHeight="1" s="80">
      <c r="C491" s="158" t="n"/>
    </row>
    <row r="492" ht="14.25" customHeight="1" s="80">
      <c r="C492" s="158" t="n"/>
    </row>
    <row r="493" ht="14.25" customHeight="1" s="80">
      <c r="C493" s="158" t="n"/>
    </row>
    <row r="494" ht="14.25" customHeight="1" s="80">
      <c r="C494" s="158" t="n"/>
    </row>
    <row r="495" ht="14.25" customHeight="1" s="80">
      <c r="C495" s="158" t="n"/>
    </row>
    <row r="496" ht="14.25" customHeight="1" s="80">
      <c r="C496" s="158" t="n"/>
    </row>
    <row r="497" ht="14.25" customHeight="1" s="80">
      <c r="C497" s="158" t="n"/>
    </row>
    <row r="498" ht="14.25" customHeight="1" s="80">
      <c r="C498" s="158" t="n"/>
    </row>
    <row r="499" ht="14.25" customHeight="1" s="80">
      <c r="C499" s="158" t="n"/>
    </row>
    <row r="500" ht="14.25" customHeight="1" s="80">
      <c r="C500" s="158" t="n"/>
    </row>
    <row r="501" ht="14.25" customHeight="1" s="80">
      <c r="C501" s="158" t="n"/>
    </row>
    <row r="502" ht="14.25" customHeight="1" s="80">
      <c r="C502" s="158" t="n"/>
    </row>
    <row r="503" ht="14.25" customHeight="1" s="80">
      <c r="C503" s="158" t="n"/>
    </row>
    <row r="504" ht="14.25" customHeight="1" s="80">
      <c r="C504" s="158" t="n"/>
    </row>
    <row r="505" ht="14.25" customHeight="1" s="80">
      <c r="C505" s="158" t="n"/>
    </row>
    <row r="506" ht="14.25" customHeight="1" s="80">
      <c r="C506" s="158" t="n"/>
    </row>
    <row r="507" ht="14.25" customHeight="1" s="80">
      <c r="C507" s="158" t="n"/>
    </row>
    <row r="508" ht="14.25" customHeight="1" s="80">
      <c r="C508" s="158" t="n"/>
    </row>
    <row r="509" ht="14.25" customHeight="1" s="80">
      <c r="C509" s="158" t="n"/>
    </row>
    <row r="510" ht="14.25" customHeight="1" s="80">
      <c r="C510" s="158" t="n"/>
    </row>
    <row r="511" ht="14.25" customHeight="1" s="80">
      <c r="C511" s="158" t="n"/>
    </row>
    <row r="512" ht="14.25" customHeight="1" s="80">
      <c r="C512" s="158" t="n"/>
    </row>
    <row r="513" ht="14.25" customHeight="1" s="80">
      <c r="C513" s="158" t="n"/>
    </row>
    <row r="514" ht="14.25" customHeight="1" s="80">
      <c r="C514" s="158" t="n"/>
    </row>
    <row r="515" ht="14.25" customHeight="1" s="80">
      <c r="C515" s="158" t="n"/>
    </row>
    <row r="516" ht="14.25" customHeight="1" s="80">
      <c r="C516" s="158" t="n"/>
    </row>
    <row r="517" ht="14.25" customHeight="1" s="80">
      <c r="C517" s="158" t="n"/>
    </row>
    <row r="518" ht="14.25" customHeight="1" s="80">
      <c r="C518" s="158" t="n"/>
    </row>
    <row r="519" ht="14.25" customHeight="1" s="80">
      <c r="C519" s="158" t="n"/>
    </row>
    <row r="520" ht="14.25" customHeight="1" s="80">
      <c r="C520" s="158" t="n"/>
    </row>
    <row r="521" ht="14.25" customHeight="1" s="80">
      <c r="C521" s="158" t="n"/>
    </row>
    <row r="522" ht="14.25" customHeight="1" s="80">
      <c r="C522" s="158" t="n"/>
    </row>
    <row r="523" ht="14.25" customHeight="1" s="80">
      <c r="C523" s="158" t="n"/>
    </row>
    <row r="524" ht="14.25" customHeight="1" s="80">
      <c r="C524" s="158" t="n"/>
    </row>
    <row r="525" ht="14.25" customHeight="1" s="80">
      <c r="C525" s="158" t="n"/>
    </row>
    <row r="526" ht="14.25" customHeight="1" s="80">
      <c r="C526" s="158" t="n"/>
    </row>
    <row r="527" ht="14.25" customHeight="1" s="80">
      <c r="C527" s="158" t="n"/>
    </row>
    <row r="528" ht="14.25" customHeight="1" s="80">
      <c r="C528" s="158" t="n"/>
    </row>
    <row r="529" ht="14.25" customHeight="1" s="80">
      <c r="C529" s="158" t="n"/>
    </row>
    <row r="530" ht="14.25" customHeight="1" s="80">
      <c r="C530" s="158" t="n"/>
    </row>
    <row r="531" ht="14.25" customHeight="1" s="80">
      <c r="C531" s="158" t="n"/>
    </row>
    <row r="532" ht="14.25" customHeight="1" s="80">
      <c r="C532" s="158" t="n"/>
    </row>
    <row r="533" ht="14.25" customHeight="1" s="80">
      <c r="C533" s="158" t="n"/>
    </row>
    <row r="534" ht="14.25" customHeight="1" s="80">
      <c r="C534" s="158" t="n"/>
    </row>
    <row r="535" ht="14.25" customHeight="1" s="80">
      <c r="C535" s="158" t="n"/>
    </row>
    <row r="536" ht="14.25" customHeight="1" s="80">
      <c r="C536" s="158" t="n"/>
    </row>
    <row r="537" ht="14.25" customHeight="1" s="80">
      <c r="C537" s="158" t="n"/>
    </row>
    <row r="538" ht="14.25" customHeight="1" s="80">
      <c r="C538" s="158" t="n"/>
    </row>
    <row r="539" ht="14.25" customHeight="1" s="80">
      <c r="C539" s="158" t="n"/>
    </row>
    <row r="540" ht="14.25" customHeight="1" s="80">
      <c r="C540" s="158" t="n"/>
    </row>
    <row r="541" ht="14.25" customHeight="1" s="80">
      <c r="C541" s="158" t="n"/>
    </row>
    <row r="542" ht="14.25" customHeight="1" s="80">
      <c r="C542" s="158" t="n"/>
    </row>
    <row r="543" ht="14.25" customHeight="1" s="80">
      <c r="C543" s="158" t="n"/>
    </row>
    <row r="544" ht="14.25" customHeight="1" s="80">
      <c r="C544" s="158" t="n"/>
    </row>
    <row r="545" ht="14.25" customHeight="1" s="80">
      <c r="C545" s="158" t="n"/>
    </row>
    <row r="546" ht="14.25" customHeight="1" s="80">
      <c r="C546" s="158" t="n"/>
    </row>
    <row r="547" ht="14.25" customHeight="1" s="80">
      <c r="C547" s="158" t="n"/>
    </row>
    <row r="548" ht="14.25" customHeight="1" s="80">
      <c r="C548" s="158" t="n"/>
    </row>
    <row r="549" ht="14.25" customHeight="1" s="80">
      <c r="C549" s="158" t="n"/>
    </row>
    <row r="550" ht="14.25" customHeight="1" s="80">
      <c r="C550" s="158" t="n"/>
    </row>
    <row r="551" ht="14.25" customHeight="1" s="80">
      <c r="C551" s="158" t="n"/>
    </row>
    <row r="552" ht="14.25" customHeight="1" s="80">
      <c r="C552" s="158" t="n"/>
    </row>
    <row r="553" ht="14.25" customHeight="1" s="80">
      <c r="C553" s="158" t="n"/>
    </row>
    <row r="554" ht="14.25" customHeight="1" s="80">
      <c r="C554" s="158" t="n"/>
    </row>
    <row r="555" ht="14.25" customHeight="1" s="80">
      <c r="C555" s="158" t="n"/>
    </row>
    <row r="556" ht="14.25" customHeight="1" s="80">
      <c r="C556" s="158" t="n"/>
    </row>
    <row r="557" ht="14.25" customHeight="1" s="80">
      <c r="C557" s="158" t="n"/>
    </row>
    <row r="558" ht="14.25" customHeight="1" s="80">
      <c r="C558" s="158" t="n"/>
    </row>
    <row r="559" ht="14.25" customHeight="1" s="80">
      <c r="C559" s="158" t="n"/>
    </row>
    <row r="560" ht="14.25" customHeight="1" s="80">
      <c r="C560" s="158" t="n"/>
    </row>
    <row r="561" ht="14.25" customHeight="1" s="80">
      <c r="C561" s="158" t="n"/>
    </row>
    <row r="562" ht="14.25" customHeight="1" s="80">
      <c r="C562" s="158" t="n"/>
    </row>
    <row r="563" ht="14.25" customHeight="1" s="80">
      <c r="C563" s="158" t="n"/>
    </row>
    <row r="564" ht="14.25" customHeight="1" s="80">
      <c r="C564" s="158" t="n"/>
    </row>
    <row r="565" ht="14.25" customHeight="1" s="80">
      <c r="C565" s="158" t="n"/>
    </row>
    <row r="566" ht="14.25" customHeight="1" s="80">
      <c r="C566" s="158" t="n"/>
    </row>
    <row r="567" ht="14.25" customHeight="1" s="80">
      <c r="C567" s="158" t="n"/>
    </row>
    <row r="568" ht="14.25" customHeight="1" s="80">
      <c r="C568" s="158" t="n"/>
    </row>
    <row r="569" ht="14.25" customHeight="1" s="80">
      <c r="C569" s="158" t="n"/>
    </row>
    <row r="570" ht="14.25" customHeight="1" s="80">
      <c r="C570" s="158" t="n"/>
    </row>
    <row r="571" ht="14.25" customHeight="1" s="80">
      <c r="C571" s="158" t="n"/>
    </row>
    <row r="572" ht="14.25" customHeight="1" s="80">
      <c r="C572" s="158" t="n"/>
    </row>
    <row r="573" ht="14.25" customHeight="1" s="80">
      <c r="C573" s="158" t="n"/>
    </row>
    <row r="574" ht="14.25" customHeight="1" s="80">
      <c r="C574" s="158" t="n"/>
    </row>
    <row r="575" ht="14.25" customHeight="1" s="80">
      <c r="C575" s="158" t="n"/>
    </row>
    <row r="576" ht="14.25" customHeight="1" s="80">
      <c r="C576" s="158" t="n"/>
    </row>
    <row r="577" ht="14.25" customHeight="1" s="80">
      <c r="C577" s="158" t="n"/>
    </row>
    <row r="578" ht="14.25" customHeight="1" s="80">
      <c r="C578" s="158" t="n"/>
    </row>
    <row r="579" ht="14.25" customHeight="1" s="80">
      <c r="C579" s="158" t="n"/>
    </row>
    <row r="580" ht="14.25" customHeight="1" s="80">
      <c r="C580" s="158" t="n"/>
    </row>
    <row r="581" ht="14.25" customHeight="1" s="80">
      <c r="C581" s="158" t="n"/>
    </row>
    <row r="582" ht="14.25" customHeight="1" s="80">
      <c r="C582" s="158" t="n"/>
    </row>
    <row r="583" ht="14.25" customHeight="1" s="80">
      <c r="C583" s="158" t="n"/>
    </row>
    <row r="584" ht="14.25" customHeight="1" s="80">
      <c r="C584" s="158" t="n"/>
    </row>
    <row r="585" ht="14.25" customHeight="1" s="80">
      <c r="C585" s="158" t="n"/>
    </row>
    <row r="586" ht="14.25" customHeight="1" s="80">
      <c r="C586" s="158" t="n"/>
    </row>
    <row r="587" ht="14.25" customHeight="1" s="80">
      <c r="C587" s="158" t="n"/>
    </row>
    <row r="588" ht="14.25" customHeight="1" s="80">
      <c r="C588" s="158" t="n"/>
    </row>
    <row r="589" ht="14.25" customHeight="1" s="80">
      <c r="C589" s="158" t="n"/>
    </row>
    <row r="590" ht="14.25" customHeight="1" s="80">
      <c r="C590" s="158" t="n"/>
    </row>
    <row r="591" ht="14.25" customHeight="1" s="80">
      <c r="C591" s="158" t="n"/>
    </row>
    <row r="592" ht="14.25" customHeight="1" s="80">
      <c r="C592" s="158" t="n"/>
    </row>
    <row r="593" ht="14.25" customHeight="1" s="80">
      <c r="C593" s="158" t="n"/>
    </row>
    <row r="594" ht="14.25" customHeight="1" s="80">
      <c r="C594" s="158" t="n"/>
    </row>
    <row r="595" ht="14.25" customHeight="1" s="80">
      <c r="C595" s="158" t="n"/>
    </row>
    <row r="596" ht="14.25" customHeight="1" s="80">
      <c r="C596" s="158" t="n"/>
    </row>
    <row r="597" ht="14.25" customHeight="1" s="80">
      <c r="C597" s="158" t="n"/>
    </row>
    <row r="598" ht="14.25" customHeight="1" s="80">
      <c r="C598" s="158" t="n"/>
    </row>
    <row r="599" ht="14.25" customHeight="1" s="80">
      <c r="C599" s="158" t="n"/>
    </row>
    <row r="600" ht="14.25" customHeight="1" s="80">
      <c r="C600" s="158" t="n"/>
    </row>
    <row r="601" ht="14.25" customHeight="1" s="80">
      <c r="C601" s="158" t="n"/>
    </row>
    <row r="602" ht="14.25" customHeight="1" s="80">
      <c r="C602" s="158" t="n"/>
    </row>
    <row r="603" ht="14.25" customHeight="1" s="80">
      <c r="C603" s="158" t="n"/>
    </row>
    <row r="604" ht="14.25" customHeight="1" s="80">
      <c r="C604" s="158" t="n"/>
    </row>
    <row r="605" ht="14.25" customHeight="1" s="80">
      <c r="C605" s="158" t="n"/>
    </row>
    <row r="606" ht="14.25" customHeight="1" s="80">
      <c r="C606" s="158" t="n"/>
    </row>
    <row r="607" ht="14.25" customHeight="1" s="80">
      <c r="C607" s="158" t="n"/>
    </row>
    <row r="608" ht="14.25" customHeight="1" s="80">
      <c r="C608" s="158" t="n"/>
    </row>
    <row r="609" ht="14.25" customHeight="1" s="80">
      <c r="C609" s="158" t="n"/>
    </row>
    <row r="610" ht="14.25" customHeight="1" s="80">
      <c r="C610" s="158" t="n"/>
    </row>
    <row r="611" ht="14.25" customHeight="1" s="80">
      <c r="C611" s="158" t="n"/>
    </row>
    <row r="612" ht="14.25" customHeight="1" s="80">
      <c r="C612" s="158" t="n"/>
    </row>
    <row r="613" ht="14.25" customHeight="1" s="80">
      <c r="C613" s="158" t="n"/>
    </row>
    <row r="614" ht="14.25" customHeight="1" s="80">
      <c r="C614" s="158" t="n"/>
    </row>
    <row r="615" ht="14.25" customHeight="1" s="80">
      <c r="C615" s="158" t="n"/>
    </row>
    <row r="616" ht="14.25" customHeight="1" s="80">
      <c r="C616" s="158" t="n"/>
    </row>
    <row r="617" ht="14.25" customHeight="1" s="80">
      <c r="C617" s="158" t="n"/>
    </row>
    <row r="618" ht="14.25" customHeight="1" s="80">
      <c r="C618" s="158" t="n"/>
    </row>
    <row r="619" ht="14.25" customHeight="1" s="80">
      <c r="C619" s="158" t="n"/>
    </row>
    <row r="620" ht="14.25" customHeight="1" s="80">
      <c r="C620" s="158" t="n"/>
    </row>
    <row r="621" ht="14.25" customHeight="1" s="80">
      <c r="C621" s="158" t="n"/>
    </row>
    <row r="622" ht="14.25" customHeight="1" s="80">
      <c r="C622" s="158" t="n"/>
    </row>
    <row r="623" ht="14.25" customHeight="1" s="80">
      <c r="C623" s="158" t="n"/>
    </row>
    <row r="624" ht="14.25" customHeight="1" s="80">
      <c r="C624" s="158" t="n"/>
    </row>
    <row r="625" ht="14.25" customHeight="1" s="80">
      <c r="C625" s="158" t="n"/>
    </row>
    <row r="626" ht="14.25" customHeight="1" s="80">
      <c r="C626" s="158" t="n"/>
    </row>
    <row r="627" ht="14.25" customHeight="1" s="80">
      <c r="C627" s="158" t="n"/>
    </row>
    <row r="628" ht="14.25" customHeight="1" s="80">
      <c r="C628" s="158" t="n"/>
    </row>
    <row r="629" ht="14.25" customHeight="1" s="80">
      <c r="C629" s="158" t="n"/>
    </row>
    <row r="630" ht="14.25" customHeight="1" s="80">
      <c r="C630" s="158" t="n"/>
    </row>
    <row r="631" ht="14.25" customHeight="1" s="80">
      <c r="C631" s="158" t="n"/>
    </row>
    <row r="632" ht="14.25" customHeight="1" s="80">
      <c r="C632" s="158" t="n"/>
    </row>
    <row r="633" ht="14.25" customHeight="1" s="80">
      <c r="C633" s="158" t="n"/>
    </row>
    <row r="634" ht="14.25" customHeight="1" s="80">
      <c r="C634" s="158" t="n"/>
    </row>
    <row r="635" ht="14.25" customHeight="1" s="80">
      <c r="C635" s="158" t="n"/>
    </row>
    <row r="636" ht="14.25" customHeight="1" s="80">
      <c r="C636" s="158" t="n"/>
    </row>
    <row r="637" ht="14.25" customHeight="1" s="80">
      <c r="C637" s="158" t="n"/>
    </row>
    <row r="638" ht="14.25" customHeight="1" s="80">
      <c r="C638" s="158" t="n"/>
    </row>
    <row r="639" ht="14.25" customHeight="1" s="80">
      <c r="C639" s="158" t="n"/>
    </row>
    <row r="640" ht="14.25" customHeight="1" s="80">
      <c r="C640" s="158" t="n"/>
    </row>
    <row r="641" ht="14.25" customHeight="1" s="80">
      <c r="C641" s="158" t="n"/>
    </row>
    <row r="642" ht="14.25" customHeight="1" s="80">
      <c r="C642" s="158" t="n"/>
    </row>
    <row r="643" ht="14.25" customHeight="1" s="80">
      <c r="C643" s="158" t="n"/>
    </row>
    <row r="644" ht="14.25" customHeight="1" s="80">
      <c r="C644" s="158" t="n"/>
    </row>
    <row r="645" ht="14.25" customHeight="1" s="80">
      <c r="C645" s="158" t="n"/>
    </row>
    <row r="646" ht="14.25" customHeight="1" s="80">
      <c r="C646" s="158" t="n"/>
    </row>
    <row r="647" ht="14.25" customHeight="1" s="80">
      <c r="C647" s="158" t="n"/>
    </row>
    <row r="648" ht="14.25" customHeight="1" s="80">
      <c r="C648" s="158" t="n"/>
    </row>
    <row r="649" ht="14.25" customHeight="1" s="80">
      <c r="C649" s="158" t="n"/>
    </row>
    <row r="650" ht="14.25" customHeight="1" s="80">
      <c r="C650" s="158" t="n"/>
    </row>
    <row r="651" ht="14.25" customHeight="1" s="80">
      <c r="C651" s="158" t="n"/>
    </row>
    <row r="652" ht="14.25" customHeight="1" s="80">
      <c r="C652" s="158" t="n"/>
    </row>
    <row r="653" ht="14.25" customHeight="1" s="80">
      <c r="C653" s="158" t="n"/>
    </row>
    <row r="654" ht="14.25" customHeight="1" s="80">
      <c r="C654" s="158" t="n"/>
    </row>
    <row r="655" ht="14.25" customHeight="1" s="80">
      <c r="C655" s="158" t="n"/>
    </row>
    <row r="656" ht="14.25" customHeight="1" s="80">
      <c r="C656" s="158" t="n"/>
    </row>
    <row r="657" ht="14.25" customHeight="1" s="80">
      <c r="C657" s="158" t="n"/>
    </row>
    <row r="658" ht="14.25" customHeight="1" s="80">
      <c r="C658" s="158" t="n"/>
    </row>
    <row r="659" ht="14.25" customHeight="1" s="80">
      <c r="C659" s="158" t="n"/>
    </row>
    <row r="660" ht="14.25" customHeight="1" s="80">
      <c r="C660" s="158" t="n"/>
    </row>
    <row r="661" ht="14.25" customHeight="1" s="80">
      <c r="C661" s="158" t="n"/>
    </row>
    <row r="662" ht="14.25" customHeight="1" s="80">
      <c r="C662" s="158" t="n"/>
    </row>
    <row r="663" ht="14.25" customHeight="1" s="80">
      <c r="C663" s="158" t="n"/>
    </row>
    <row r="664" ht="14.25" customHeight="1" s="80">
      <c r="C664" s="158" t="n"/>
    </row>
    <row r="665" ht="14.25" customHeight="1" s="80">
      <c r="C665" s="158" t="n"/>
    </row>
    <row r="666" ht="14.25" customHeight="1" s="80">
      <c r="C666" s="158" t="n"/>
    </row>
    <row r="667" ht="14.25" customHeight="1" s="80">
      <c r="C667" s="158" t="n"/>
    </row>
    <row r="668" ht="14.25" customHeight="1" s="80">
      <c r="C668" s="158" t="n"/>
    </row>
    <row r="669" ht="14.25" customHeight="1" s="80">
      <c r="C669" s="158" t="n"/>
    </row>
    <row r="670" ht="14.25" customHeight="1" s="80">
      <c r="C670" s="158" t="n"/>
    </row>
    <row r="671" ht="14.25" customHeight="1" s="80">
      <c r="C671" s="158" t="n"/>
    </row>
    <row r="672" ht="14.25" customHeight="1" s="80">
      <c r="C672" s="158" t="n"/>
    </row>
    <row r="673" ht="14.25" customHeight="1" s="80">
      <c r="C673" s="158" t="n"/>
    </row>
    <row r="674" ht="14.25" customHeight="1" s="80">
      <c r="C674" s="158" t="n"/>
    </row>
    <row r="675" ht="14.25" customHeight="1" s="80">
      <c r="C675" s="158" t="n"/>
    </row>
    <row r="676" ht="14.25" customHeight="1" s="80">
      <c r="C676" s="158" t="n"/>
    </row>
    <row r="677" ht="14.25" customHeight="1" s="80">
      <c r="C677" s="158" t="n"/>
    </row>
    <row r="678" ht="14.25" customHeight="1" s="80">
      <c r="C678" s="158" t="n"/>
    </row>
    <row r="679" ht="14.25" customHeight="1" s="80">
      <c r="C679" s="158" t="n"/>
    </row>
    <row r="680" ht="14.25" customHeight="1" s="80">
      <c r="C680" s="158" t="n"/>
    </row>
    <row r="681" ht="14.25" customHeight="1" s="80">
      <c r="C681" s="158" t="n"/>
    </row>
    <row r="682" ht="14.25" customHeight="1" s="80">
      <c r="C682" s="158" t="n"/>
    </row>
    <row r="683" ht="14.25" customHeight="1" s="80">
      <c r="C683" s="158" t="n"/>
    </row>
    <row r="684" ht="14.25" customHeight="1" s="80">
      <c r="C684" s="158" t="n"/>
    </row>
    <row r="685" ht="14.25" customHeight="1" s="80">
      <c r="C685" s="158" t="n"/>
    </row>
    <row r="686" ht="14.25" customHeight="1" s="80">
      <c r="C686" s="158" t="n"/>
    </row>
    <row r="687" ht="14.25" customHeight="1" s="80">
      <c r="C687" s="158" t="n"/>
    </row>
    <row r="688" ht="14.25" customHeight="1" s="80">
      <c r="C688" s="158" t="n"/>
    </row>
    <row r="689" ht="14.25" customHeight="1" s="80">
      <c r="C689" s="158" t="n"/>
    </row>
    <row r="690" ht="14.25" customHeight="1" s="80">
      <c r="C690" s="158" t="n"/>
    </row>
    <row r="691" ht="14.25" customHeight="1" s="80">
      <c r="C691" s="158" t="n"/>
    </row>
    <row r="692" ht="14.25" customHeight="1" s="80">
      <c r="C692" s="158" t="n"/>
    </row>
    <row r="693" ht="14.25" customHeight="1" s="80">
      <c r="C693" s="158" t="n"/>
    </row>
    <row r="694" ht="14.25" customHeight="1" s="80">
      <c r="C694" s="158" t="n"/>
    </row>
    <row r="695" ht="14.25" customHeight="1" s="80">
      <c r="C695" s="158" t="n"/>
    </row>
    <row r="696" ht="14.25" customHeight="1" s="80">
      <c r="C696" s="158" t="n"/>
    </row>
    <row r="697" ht="14.25" customHeight="1" s="80">
      <c r="C697" s="158" t="n"/>
    </row>
    <row r="698" ht="14.25" customHeight="1" s="80">
      <c r="C698" s="158" t="n"/>
    </row>
    <row r="699" ht="14.25" customHeight="1" s="80">
      <c r="C699" s="158" t="n"/>
    </row>
    <row r="700" ht="14.25" customHeight="1" s="80">
      <c r="C700" s="158" t="n"/>
    </row>
    <row r="701" ht="14.25" customHeight="1" s="80">
      <c r="C701" s="158" t="n"/>
    </row>
    <row r="702" ht="14.25" customHeight="1" s="80">
      <c r="C702" s="158" t="n"/>
    </row>
    <row r="703" ht="14.25" customHeight="1" s="80">
      <c r="C703" s="158" t="n"/>
    </row>
    <row r="704" ht="14.25" customHeight="1" s="80">
      <c r="C704" s="158" t="n"/>
    </row>
    <row r="705" ht="14.25" customHeight="1" s="80">
      <c r="C705" s="158" t="n"/>
    </row>
    <row r="706" ht="14.25" customHeight="1" s="80">
      <c r="C706" s="158" t="n"/>
    </row>
    <row r="707" ht="14.25" customHeight="1" s="80">
      <c r="C707" s="158" t="n"/>
    </row>
    <row r="708" ht="14.25" customHeight="1" s="80">
      <c r="C708" s="158" t="n"/>
    </row>
    <row r="709" ht="14.25" customHeight="1" s="80">
      <c r="C709" s="158" t="n"/>
    </row>
    <row r="710" ht="14.25" customHeight="1" s="80">
      <c r="C710" s="158" t="n"/>
    </row>
    <row r="711" ht="14.25" customHeight="1" s="80">
      <c r="C711" s="158" t="n"/>
    </row>
    <row r="712" ht="14.25" customHeight="1" s="80">
      <c r="C712" s="158" t="n"/>
    </row>
    <row r="713" ht="14.25" customHeight="1" s="80">
      <c r="C713" s="158" t="n"/>
    </row>
    <row r="714" ht="14.25" customHeight="1" s="80">
      <c r="C714" s="158" t="n"/>
    </row>
    <row r="715" ht="14.25" customHeight="1" s="80">
      <c r="C715" s="158" t="n"/>
    </row>
    <row r="716" ht="14.25" customHeight="1" s="80">
      <c r="C716" s="158" t="n"/>
    </row>
    <row r="717" ht="14.25" customHeight="1" s="80">
      <c r="C717" s="158" t="n"/>
    </row>
    <row r="718" ht="14.25" customHeight="1" s="80">
      <c r="C718" s="158" t="n"/>
    </row>
    <row r="719" ht="14.25" customHeight="1" s="80">
      <c r="C719" s="158" t="n"/>
    </row>
    <row r="720" ht="14.25" customHeight="1" s="80">
      <c r="C720" s="158" t="n"/>
    </row>
    <row r="721" ht="14.25" customHeight="1" s="80">
      <c r="C721" s="158" t="n"/>
    </row>
    <row r="722" ht="14.25" customHeight="1" s="80">
      <c r="C722" s="158" t="n"/>
    </row>
    <row r="723" ht="14.25" customHeight="1" s="80">
      <c r="C723" s="158" t="n"/>
    </row>
    <row r="724" ht="14.25" customHeight="1" s="80">
      <c r="C724" s="158" t="n"/>
    </row>
    <row r="725" ht="14.25" customHeight="1" s="80">
      <c r="C725" s="158" t="n"/>
    </row>
    <row r="726" ht="14.25" customHeight="1" s="80">
      <c r="C726" s="158" t="n"/>
    </row>
    <row r="727" ht="14.25" customHeight="1" s="80">
      <c r="C727" s="158" t="n"/>
    </row>
    <row r="728" ht="14.25" customHeight="1" s="80">
      <c r="C728" s="158" t="n"/>
    </row>
    <row r="729" ht="14.25" customHeight="1" s="80">
      <c r="C729" s="158" t="n"/>
    </row>
    <row r="730" ht="14.25" customHeight="1" s="80">
      <c r="C730" s="158" t="n"/>
    </row>
    <row r="731" ht="14.25" customHeight="1" s="80">
      <c r="C731" s="158" t="n"/>
    </row>
    <row r="732" ht="14.25" customHeight="1" s="80">
      <c r="C732" s="158" t="n"/>
    </row>
    <row r="733" ht="14.25" customHeight="1" s="80">
      <c r="C733" s="158" t="n"/>
    </row>
    <row r="734" ht="14.25" customHeight="1" s="80">
      <c r="C734" s="158" t="n"/>
    </row>
    <row r="735" ht="14.25" customHeight="1" s="80">
      <c r="C735" s="158" t="n"/>
    </row>
    <row r="736" ht="14.25" customHeight="1" s="80">
      <c r="C736" s="158" t="n"/>
    </row>
    <row r="737" ht="14.25" customHeight="1" s="80">
      <c r="C737" s="158" t="n"/>
    </row>
    <row r="738" ht="14.25" customHeight="1" s="80">
      <c r="C738" s="158" t="n"/>
    </row>
    <row r="739" ht="14.25" customHeight="1" s="80">
      <c r="C739" s="158" t="n"/>
    </row>
    <row r="740" ht="14.25" customHeight="1" s="80">
      <c r="C740" s="158" t="n"/>
    </row>
    <row r="741" ht="14.25" customHeight="1" s="80">
      <c r="C741" s="158" t="n"/>
    </row>
    <row r="742" ht="14.25" customHeight="1" s="80">
      <c r="C742" s="158" t="n"/>
    </row>
    <row r="743" ht="14.25" customHeight="1" s="80">
      <c r="C743" s="158" t="n"/>
    </row>
    <row r="744" ht="14.25" customHeight="1" s="80">
      <c r="C744" s="158" t="n"/>
    </row>
    <row r="745" ht="14.25" customHeight="1" s="80">
      <c r="C745" s="158" t="n"/>
    </row>
    <row r="746" ht="14.25" customHeight="1" s="80">
      <c r="C746" s="158" t="n"/>
    </row>
    <row r="747" ht="14.25" customHeight="1" s="80">
      <c r="C747" s="158" t="n"/>
    </row>
    <row r="748" ht="14.25" customHeight="1" s="80">
      <c r="C748" s="158" t="n"/>
    </row>
    <row r="749" ht="14.25" customHeight="1" s="80">
      <c r="C749" s="158" t="n"/>
    </row>
    <row r="750" ht="14.25" customHeight="1" s="80">
      <c r="C750" s="158" t="n"/>
    </row>
    <row r="751" ht="14.25" customHeight="1" s="80">
      <c r="C751" s="158" t="n"/>
    </row>
    <row r="752" ht="14.25" customHeight="1" s="80">
      <c r="C752" s="158" t="n"/>
    </row>
    <row r="753" ht="14.25" customHeight="1" s="80">
      <c r="C753" s="158" t="n"/>
    </row>
    <row r="754" ht="14.25" customHeight="1" s="80">
      <c r="C754" s="158" t="n"/>
    </row>
    <row r="755" ht="14.25" customHeight="1" s="80">
      <c r="C755" s="158" t="n"/>
    </row>
    <row r="756" ht="14.25" customHeight="1" s="80">
      <c r="C756" s="158" t="n"/>
    </row>
    <row r="757" ht="14.25" customHeight="1" s="80">
      <c r="C757" s="158" t="n"/>
    </row>
    <row r="758" ht="14.25" customHeight="1" s="80">
      <c r="C758" s="158" t="n"/>
    </row>
    <row r="759" ht="14.25" customHeight="1" s="80">
      <c r="C759" s="158" t="n"/>
    </row>
    <row r="760" ht="14.25" customHeight="1" s="80">
      <c r="C760" s="158" t="n"/>
    </row>
    <row r="761" ht="14.25" customHeight="1" s="80">
      <c r="C761" s="158" t="n"/>
    </row>
    <row r="762" ht="14.25" customHeight="1" s="80">
      <c r="C762" s="158" t="n"/>
    </row>
    <row r="763" ht="14.25" customHeight="1" s="80">
      <c r="C763" s="158" t="n"/>
    </row>
    <row r="764" ht="14.25" customHeight="1" s="80">
      <c r="C764" s="158" t="n"/>
    </row>
    <row r="765" ht="14.25" customHeight="1" s="80">
      <c r="C765" s="158" t="n"/>
    </row>
    <row r="766" ht="14.25" customHeight="1" s="80">
      <c r="C766" s="158" t="n"/>
    </row>
    <row r="767" ht="14.25" customHeight="1" s="80">
      <c r="C767" s="158" t="n"/>
    </row>
    <row r="768" ht="14.25" customHeight="1" s="80">
      <c r="C768" s="158" t="n"/>
    </row>
    <row r="769" ht="14.25" customHeight="1" s="80">
      <c r="C769" s="158" t="n"/>
    </row>
    <row r="770" ht="14.25" customHeight="1" s="80">
      <c r="C770" s="158" t="n"/>
    </row>
    <row r="771" ht="14.25" customHeight="1" s="80">
      <c r="C771" s="158" t="n"/>
    </row>
    <row r="772" ht="14.25" customHeight="1" s="80">
      <c r="C772" s="158" t="n"/>
    </row>
    <row r="773" ht="14.25" customHeight="1" s="80">
      <c r="C773" s="158" t="n"/>
    </row>
    <row r="774" ht="14.25" customHeight="1" s="80">
      <c r="C774" s="158" t="n"/>
    </row>
    <row r="775" ht="14.25" customHeight="1" s="80">
      <c r="C775" s="158" t="n"/>
    </row>
    <row r="776" ht="14.25" customHeight="1" s="80">
      <c r="C776" s="158" t="n"/>
    </row>
    <row r="777" ht="14.25" customHeight="1" s="80">
      <c r="C777" s="158" t="n"/>
    </row>
    <row r="778" ht="14.25" customHeight="1" s="80">
      <c r="C778" s="158" t="n"/>
    </row>
    <row r="779" ht="14.25" customHeight="1" s="80">
      <c r="C779" s="158" t="n"/>
    </row>
    <row r="780" ht="14.25" customHeight="1" s="80">
      <c r="C780" s="158" t="n"/>
    </row>
    <row r="781" ht="14.25" customHeight="1" s="80">
      <c r="C781" s="158" t="n"/>
    </row>
    <row r="782" ht="14.25" customHeight="1" s="80">
      <c r="C782" s="158" t="n"/>
    </row>
    <row r="783" ht="14.25" customHeight="1" s="80">
      <c r="C783" s="158" t="n"/>
    </row>
    <row r="784" ht="14.25" customHeight="1" s="80">
      <c r="C784" s="158" t="n"/>
    </row>
    <row r="785" ht="14.25" customHeight="1" s="80">
      <c r="C785" s="158" t="n"/>
    </row>
    <row r="786" ht="14.25" customHeight="1" s="80">
      <c r="C786" s="158" t="n"/>
    </row>
    <row r="787" ht="14.25" customHeight="1" s="80">
      <c r="C787" s="158" t="n"/>
    </row>
    <row r="788" ht="14.25" customHeight="1" s="80">
      <c r="C788" s="158" t="n"/>
    </row>
    <row r="789" ht="14.25" customHeight="1" s="80">
      <c r="C789" s="158" t="n"/>
    </row>
    <row r="790" ht="14.25" customHeight="1" s="80">
      <c r="C790" s="158" t="n"/>
    </row>
    <row r="791" ht="14.25" customHeight="1" s="80">
      <c r="C791" s="158" t="n"/>
    </row>
    <row r="792" ht="14.25" customHeight="1" s="80">
      <c r="C792" s="158" t="n"/>
    </row>
    <row r="793" ht="14.25" customHeight="1" s="80">
      <c r="C793" s="158" t="n"/>
    </row>
    <row r="794" ht="14.25" customHeight="1" s="80">
      <c r="C794" s="158" t="n"/>
    </row>
    <row r="795" ht="14.25" customHeight="1" s="80">
      <c r="C795" s="158" t="n"/>
    </row>
    <row r="796" ht="14.25" customHeight="1" s="80">
      <c r="C796" s="158" t="n"/>
    </row>
    <row r="797" ht="14.25" customHeight="1" s="80">
      <c r="C797" s="158" t="n"/>
    </row>
    <row r="798" ht="14.25" customHeight="1" s="80">
      <c r="C798" s="158" t="n"/>
    </row>
    <row r="799" ht="14.25" customHeight="1" s="80">
      <c r="C799" s="158" t="n"/>
    </row>
    <row r="800" ht="14.25" customHeight="1" s="80">
      <c r="C800" s="158" t="n"/>
    </row>
    <row r="801" ht="14.25" customHeight="1" s="80">
      <c r="C801" s="158" t="n"/>
    </row>
    <row r="802" ht="14.25" customHeight="1" s="80">
      <c r="C802" s="158" t="n"/>
    </row>
    <row r="803" ht="14.25" customHeight="1" s="80">
      <c r="C803" s="158" t="n"/>
    </row>
    <row r="804" ht="14.25" customHeight="1" s="80">
      <c r="C804" s="158" t="n"/>
    </row>
    <row r="805" ht="14.25" customHeight="1" s="80">
      <c r="C805" s="158" t="n"/>
    </row>
    <row r="806" ht="14.25" customHeight="1" s="80">
      <c r="C806" s="158" t="n"/>
    </row>
    <row r="807" ht="14.25" customHeight="1" s="80">
      <c r="C807" s="158" t="n"/>
    </row>
    <row r="808" ht="14.25" customHeight="1" s="80">
      <c r="C808" s="158" t="n"/>
    </row>
    <row r="809" ht="14.25" customHeight="1" s="80">
      <c r="C809" s="158" t="n"/>
    </row>
    <row r="810" ht="14.25" customHeight="1" s="80">
      <c r="C810" s="158" t="n"/>
    </row>
    <row r="811" ht="14.25" customHeight="1" s="80">
      <c r="C811" s="158" t="n"/>
    </row>
    <row r="812" ht="14.25" customHeight="1" s="80">
      <c r="C812" s="158" t="n"/>
    </row>
    <row r="813" ht="14.25" customHeight="1" s="80">
      <c r="C813" s="158" t="n"/>
    </row>
    <row r="814" ht="14.25" customHeight="1" s="80">
      <c r="C814" s="158" t="n"/>
    </row>
    <row r="815" ht="14.25" customHeight="1" s="80">
      <c r="C815" s="158" t="n"/>
    </row>
    <row r="816" ht="14.25" customHeight="1" s="80">
      <c r="C816" s="158" t="n"/>
    </row>
    <row r="817" ht="14.25" customHeight="1" s="80">
      <c r="C817" s="158" t="n"/>
    </row>
    <row r="818" ht="14.25" customHeight="1" s="80">
      <c r="C818" s="158" t="n"/>
    </row>
    <row r="819" ht="14.25" customHeight="1" s="80">
      <c r="C819" s="158" t="n"/>
    </row>
    <row r="820" ht="14.25" customHeight="1" s="80">
      <c r="C820" s="158" t="n"/>
    </row>
    <row r="821" ht="14.25" customHeight="1" s="80">
      <c r="C821" s="158" t="n"/>
    </row>
    <row r="822" ht="14.25" customHeight="1" s="80">
      <c r="C822" s="158" t="n"/>
    </row>
    <row r="823" ht="14.25" customHeight="1" s="80">
      <c r="C823" s="158" t="n"/>
    </row>
    <row r="824" ht="14.25" customHeight="1" s="80">
      <c r="C824" s="158" t="n"/>
    </row>
    <row r="825" ht="14.25" customHeight="1" s="80">
      <c r="C825" s="158" t="n"/>
    </row>
    <row r="826" ht="14.25" customHeight="1" s="80">
      <c r="C826" s="158" t="n"/>
    </row>
    <row r="827" ht="14.25" customHeight="1" s="80">
      <c r="C827" s="158" t="n"/>
    </row>
    <row r="828" ht="14.25" customHeight="1" s="80">
      <c r="C828" s="158" t="n"/>
    </row>
    <row r="829" ht="14.25" customHeight="1" s="80">
      <c r="C829" s="158" t="n"/>
    </row>
    <row r="830" ht="14.25" customHeight="1" s="80">
      <c r="C830" s="158" t="n"/>
    </row>
    <row r="831" ht="14.25" customHeight="1" s="80">
      <c r="C831" s="158" t="n"/>
    </row>
    <row r="832" ht="14.25" customHeight="1" s="80">
      <c r="C832" s="158" t="n"/>
    </row>
    <row r="833" ht="14.25" customHeight="1" s="80">
      <c r="C833" s="158" t="n"/>
    </row>
    <row r="834" ht="14.25" customHeight="1" s="80">
      <c r="C834" s="158" t="n"/>
    </row>
    <row r="835" ht="14.25" customHeight="1" s="80">
      <c r="C835" s="158" t="n"/>
    </row>
    <row r="836" ht="14.25" customHeight="1" s="80">
      <c r="C836" s="158" t="n"/>
    </row>
    <row r="837" ht="14.25" customHeight="1" s="80">
      <c r="C837" s="158" t="n"/>
    </row>
    <row r="838" ht="14.25" customHeight="1" s="80">
      <c r="C838" s="158" t="n"/>
    </row>
    <row r="839" ht="14.25" customHeight="1" s="80">
      <c r="C839" s="158" t="n"/>
    </row>
    <row r="840" ht="14.25" customHeight="1" s="80">
      <c r="C840" s="158" t="n"/>
    </row>
    <row r="841" ht="14.25" customHeight="1" s="80">
      <c r="C841" s="158" t="n"/>
    </row>
    <row r="842" ht="14.25" customHeight="1" s="80">
      <c r="C842" s="158" t="n"/>
    </row>
    <row r="843" ht="14.25" customHeight="1" s="80">
      <c r="C843" s="158" t="n"/>
    </row>
    <row r="844" ht="14.25" customHeight="1" s="80">
      <c r="C844" s="158" t="n"/>
    </row>
    <row r="845" ht="14.25" customHeight="1" s="80">
      <c r="C845" s="158" t="n"/>
    </row>
    <row r="846" ht="14.25" customHeight="1" s="80">
      <c r="C846" s="158" t="n"/>
    </row>
    <row r="847" ht="14.25" customHeight="1" s="80">
      <c r="C847" s="158" t="n"/>
    </row>
    <row r="848" ht="14.25" customHeight="1" s="80">
      <c r="C848" s="158" t="n"/>
    </row>
    <row r="849" ht="14.25" customHeight="1" s="80">
      <c r="C849" s="158" t="n"/>
    </row>
    <row r="850" ht="14.25" customHeight="1" s="80">
      <c r="C850" s="158" t="n"/>
    </row>
    <row r="851" ht="14.25" customHeight="1" s="80">
      <c r="C851" s="158" t="n"/>
    </row>
    <row r="852" ht="14.25" customHeight="1" s="80">
      <c r="C852" s="158" t="n"/>
    </row>
    <row r="853" ht="14.25" customHeight="1" s="80">
      <c r="C853" s="158" t="n"/>
    </row>
    <row r="854" ht="14.25" customHeight="1" s="80">
      <c r="C854" s="158" t="n"/>
    </row>
    <row r="855" ht="14.25" customHeight="1" s="80">
      <c r="C855" s="158" t="n"/>
    </row>
    <row r="856" ht="14.25" customHeight="1" s="80">
      <c r="C856" s="158" t="n"/>
    </row>
    <row r="857" ht="14.25" customHeight="1" s="80">
      <c r="C857" s="158" t="n"/>
    </row>
    <row r="858" ht="14.25" customHeight="1" s="80">
      <c r="C858" s="158" t="n"/>
    </row>
    <row r="859" ht="14.25" customHeight="1" s="80">
      <c r="C859" s="158" t="n"/>
    </row>
    <row r="860" ht="14.25" customHeight="1" s="80">
      <c r="C860" s="158" t="n"/>
    </row>
    <row r="861" ht="14.25" customHeight="1" s="80">
      <c r="C861" s="158" t="n"/>
    </row>
    <row r="862" ht="14.25" customHeight="1" s="80">
      <c r="C862" s="158" t="n"/>
    </row>
    <row r="863" ht="14.25" customHeight="1" s="80">
      <c r="C863" s="158" t="n"/>
    </row>
    <row r="864" ht="14.25" customHeight="1" s="80">
      <c r="C864" s="158" t="n"/>
    </row>
    <row r="865" ht="14.25" customHeight="1" s="80">
      <c r="C865" s="158" t="n"/>
    </row>
    <row r="866" ht="14.25" customHeight="1" s="80">
      <c r="C866" s="158" t="n"/>
    </row>
    <row r="867" ht="14.25" customHeight="1" s="80">
      <c r="C867" s="158" t="n"/>
    </row>
    <row r="868" ht="14.25" customHeight="1" s="80">
      <c r="C868" s="158" t="n"/>
    </row>
    <row r="869" ht="14.25" customHeight="1" s="80">
      <c r="C869" s="158" t="n"/>
    </row>
    <row r="870" ht="14.25" customHeight="1" s="80">
      <c r="C870" s="158" t="n"/>
    </row>
    <row r="871" ht="14.25" customHeight="1" s="80">
      <c r="C871" s="158" t="n"/>
    </row>
    <row r="872" ht="14.25" customHeight="1" s="80">
      <c r="C872" s="158" t="n"/>
    </row>
    <row r="873" ht="14.25" customHeight="1" s="80">
      <c r="C873" s="158" t="n"/>
    </row>
    <row r="874" ht="14.25" customHeight="1" s="80">
      <c r="C874" s="158" t="n"/>
    </row>
    <row r="875" ht="14.25" customHeight="1" s="80">
      <c r="C875" s="158" t="n"/>
    </row>
    <row r="876" ht="14.25" customHeight="1" s="80">
      <c r="C876" s="158" t="n"/>
    </row>
    <row r="877" ht="14.25" customHeight="1" s="80">
      <c r="C877" s="158" t="n"/>
    </row>
    <row r="878" ht="14.25" customHeight="1" s="80">
      <c r="C878" s="158" t="n"/>
    </row>
    <row r="879" ht="14.25" customHeight="1" s="80">
      <c r="C879" s="158" t="n"/>
    </row>
    <row r="880" ht="14.25" customHeight="1" s="80">
      <c r="C880" s="158" t="n"/>
    </row>
    <row r="881" ht="14.25" customHeight="1" s="80">
      <c r="C881" s="158" t="n"/>
    </row>
    <row r="882" ht="14.25" customHeight="1" s="80">
      <c r="C882" s="158" t="n"/>
    </row>
    <row r="883" ht="14.25" customHeight="1" s="80">
      <c r="C883" s="158" t="n"/>
    </row>
    <row r="884" ht="14.25" customHeight="1" s="80">
      <c r="C884" s="158" t="n"/>
    </row>
    <row r="885" ht="14.25" customHeight="1" s="80">
      <c r="C885" s="158" t="n"/>
    </row>
    <row r="886" ht="14.25" customHeight="1" s="80">
      <c r="C886" s="158" t="n"/>
    </row>
    <row r="887" ht="14.25" customHeight="1" s="80">
      <c r="C887" s="158" t="n"/>
    </row>
    <row r="888" ht="14.25" customHeight="1" s="80">
      <c r="C888" s="158" t="n"/>
    </row>
    <row r="889" ht="14.25" customHeight="1" s="80">
      <c r="C889" s="158" t="n"/>
    </row>
    <row r="890" ht="14.25" customHeight="1" s="80">
      <c r="C890" s="158" t="n"/>
    </row>
    <row r="891" ht="14.25" customHeight="1" s="80">
      <c r="C891" s="158" t="n"/>
    </row>
    <row r="892" ht="14.25" customHeight="1" s="80">
      <c r="C892" s="158" t="n"/>
    </row>
    <row r="893" ht="14.25" customHeight="1" s="80">
      <c r="C893" s="158" t="n"/>
    </row>
    <row r="894" ht="14.25" customHeight="1" s="80">
      <c r="C894" s="158" t="n"/>
    </row>
    <row r="895" ht="14.25" customHeight="1" s="80">
      <c r="C895" s="158" t="n"/>
    </row>
    <row r="896" ht="14.25" customHeight="1" s="80">
      <c r="C896" s="158" t="n"/>
    </row>
    <row r="897" ht="14.25" customHeight="1" s="80">
      <c r="C897" s="158" t="n"/>
    </row>
    <row r="898" ht="14.25" customHeight="1" s="80">
      <c r="C898" s="158" t="n"/>
    </row>
    <row r="899" ht="14.25" customHeight="1" s="80">
      <c r="C899" s="158" t="n"/>
    </row>
    <row r="900" ht="14.25" customHeight="1" s="80">
      <c r="C900" s="158" t="n"/>
    </row>
    <row r="901" ht="14.25" customHeight="1" s="80">
      <c r="C901" s="158" t="n"/>
    </row>
    <row r="902" ht="14.25" customHeight="1" s="80">
      <c r="C902" s="158" t="n"/>
    </row>
    <row r="903" ht="14.25" customHeight="1" s="80">
      <c r="C903" s="158" t="n"/>
    </row>
    <row r="904" ht="14.25" customHeight="1" s="80">
      <c r="C904" s="158" t="n"/>
    </row>
    <row r="905" ht="14.25" customHeight="1" s="80">
      <c r="C905" s="158" t="n"/>
    </row>
    <row r="906" ht="14.25" customHeight="1" s="80">
      <c r="C906" s="158" t="n"/>
    </row>
    <row r="907" ht="14.25" customHeight="1" s="80">
      <c r="C907" s="158" t="n"/>
    </row>
    <row r="908" ht="14.25" customHeight="1" s="80">
      <c r="C908" s="158" t="n"/>
    </row>
    <row r="909" ht="14.25" customHeight="1" s="80">
      <c r="C909" s="158" t="n"/>
    </row>
    <row r="910" ht="14.25" customHeight="1" s="80">
      <c r="C910" s="158" t="n"/>
    </row>
    <row r="911" ht="14.25" customHeight="1" s="80">
      <c r="C911" s="158" t="n"/>
    </row>
    <row r="912" ht="14.25" customHeight="1" s="80">
      <c r="C912" s="158" t="n"/>
    </row>
    <row r="913" ht="14.25" customHeight="1" s="80">
      <c r="C913" s="158" t="n"/>
    </row>
    <row r="914" ht="14.25" customHeight="1" s="80">
      <c r="C914" s="158" t="n"/>
    </row>
    <row r="915" ht="14.25" customHeight="1" s="80">
      <c r="C915" s="158" t="n"/>
    </row>
    <row r="916" ht="14.25" customHeight="1" s="80">
      <c r="C916" s="158" t="n"/>
    </row>
    <row r="917" ht="14.25" customHeight="1" s="80">
      <c r="C917" s="158" t="n"/>
    </row>
    <row r="918" ht="14.25" customHeight="1" s="80">
      <c r="C918" s="158" t="n"/>
    </row>
    <row r="919" ht="14.25" customHeight="1" s="80">
      <c r="C919" s="158" t="n"/>
    </row>
    <row r="920" ht="14.25" customHeight="1" s="80">
      <c r="C920" s="158" t="n"/>
    </row>
    <row r="921" ht="14.25" customHeight="1" s="80">
      <c r="C921" s="158" t="n"/>
    </row>
    <row r="922" ht="14.25" customHeight="1" s="80">
      <c r="C922" s="158" t="n"/>
    </row>
    <row r="923" ht="14.25" customHeight="1" s="80">
      <c r="C923" s="158" t="n"/>
    </row>
    <row r="924" ht="14.25" customHeight="1" s="80">
      <c r="C924" s="158" t="n"/>
    </row>
    <row r="925" ht="14.25" customHeight="1" s="80">
      <c r="C925" s="158" t="n"/>
    </row>
    <row r="926" ht="14.25" customHeight="1" s="80">
      <c r="C926" s="158" t="n"/>
    </row>
    <row r="927" ht="14.25" customHeight="1" s="80">
      <c r="C927" s="158" t="n"/>
    </row>
    <row r="928" ht="14.25" customHeight="1" s="80">
      <c r="C928" s="158" t="n"/>
    </row>
    <row r="929" ht="14.25" customHeight="1" s="80">
      <c r="C929" s="158" t="n"/>
    </row>
    <row r="930" ht="14.25" customHeight="1" s="80">
      <c r="C930" s="158" t="n"/>
    </row>
    <row r="931" ht="14.25" customHeight="1" s="80">
      <c r="C931" s="158" t="n"/>
    </row>
    <row r="932" ht="14.25" customHeight="1" s="80">
      <c r="C932" s="158" t="n"/>
    </row>
    <row r="933" ht="14.25" customHeight="1" s="80">
      <c r="C933" s="158" t="n"/>
    </row>
    <row r="934" ht="14.25" customHeight="1" s="80">
      <c r="C934" s="158" t="n"/>
    </row>
    <row r="935" ht="14.25" customHeight="1" s="80">
      <c r="C935" s="158" t="n"/>
    </row>
    <row r="936" ht="14.25" customHeight="1" s="80">
      <c r="C936" s="158" t="n"/>
    </row>
    <row r="937" ht="14.25" customHeight="1" s="80">
      <c r="C937" s="158" t="n"/>
    </row>
    <row r="938" ht="14.25" customHeight="1" s="80">
      <c r="C938" s="158" t="n"/>
    </row>
    <row r="939" ht="14.25" customHeight="1" s="80">
      <c r="C939" s="158" t="n"/>
    </row>
    <row r="940" ht="14.25" customHeight="1" s="80">
      <c r="C940" s="158" t="n"/>
    </row>
    <row r="941" ht="14.25" customHeight="1" s="80">
      <c r="C941" s="158" t="n"/>
    </row>
    <row r="942" ht="14.25" customHeight="1" s="80">
      <c r="C942" s="158" t="n"/>
    </row>
    <row r="943" ht="14.25" customHeight="1" s="80">
      <c r="C943" s="158" t="n"/>
    </row>
    <row r="944" ht="14.25" customHeight="1" s="80">
      <c r="C944" s="158" t="n"/>
    </row>
    <row r="945" ht="14.25" customHeight="1" s="80">
      <c r="C945" s="158" t="n"/>
    </row>
    <row r="946" ht="14.25" customHeight="1" s="80">
      <c r="C946" s="158" t="n"/>
    </row>
    <row r="947" ht="14.25" customHeight="1" s="80">
      <c r="C947" s="158" t="n"/>
    </row>
    <row r="948" ht="14.25" customHeight="1" s="80">
      <c r="C948" s="158" t="n"/>
    </row>
    <row r="949" ht="14.25" customHeight="1" s="80">
      <c r="C949" s="158" t="n"/>
    </row>
    <row r="950" ht="14.25" customHeight="1" s="80">
      <c r="C950" s="158" t="n"/>
    </row>
    <row r="951" ht="14.25" customHeight="1" s="80">
      <c r="C951" s="158" t="n"/>
    </row>
    <row r="952" ht="14.25" customHeight="1" s="80">
      <c r="C952" s="158" t="n"/>
    </row>
    <row r="953" ht="14.25" customHeight="1" s="80">
      <c r="C953" s="158" t="n"/>
    </row>
    <row r="954" ht="14.25" customHeight="1" s="80">
      <c r="C954" s="158" t="n"/>
    </row>
    <row r="955" ht="14.25" customHeight="1" s="80">
      <c r="C955" s="158" t="n"/>
    </row>
    <row r="956" ht="14.25" customHeight="1" s="80">
      <c r="C956" s="158" t="n"/>
    </row>
    <row r="957" ht="14.25" customHeight="1" s="80">
      <c r="C957" s="158" t="n"/>
    </row>
    <row r="958" ht="14.25" customHeight="1" s="80">
      <c r="C958" s="158" t="n"/>
    </row>
    <row r="959" ht="14.25" customHeight="1" s="80">
      <c r="C959" s="158" t="n"/>
    </row>
    <row r="960" ht="14.25" customHeight="1" s="80">
      <c r="C960" s="158" t="n"/>
    </row>
    <row r="961" ht="14.25" customHeight="1" s="80">
      <c r="C961" s="158" t="n"/>
    </row>
    <row r="962" ht="14.25" customHeight="1" s="80">
      <c r="C962" s="158" t="n"/>
    </row>
    <row r="963" ht="14.25" customHeight="1" s="80">
      <c r="C963" s="158" t="n"/>
    </row>
    <row r="964" ht="14.25" customHeight="1" s="80">
      <c r="C964" s="158" t="n"/>
    </row>
    <row r="965" ht="14.25" customHeight="1" s="80">
      <c r="C965" s="158" t="n"/>
    </row>
    <row r="966" ht="14.25" customHeight="1" s="80">
      <c r="C966" s="158" t="n"/>
    </row>
    <row r="967" ht="14.25" customHeight="1" s="80">
      <c r="C967" s="158" t="n"/>
    </row>
    <row r="968" ht="14.25" customHeight="1" s="80">
      <c r="C968" s="158" t="n"/>
    </row>
    <row r="969" ht="14.25" customHeight="1" s="80">
      <c r="C969" s="158" t="n"/>
    </row>
    <row r="970" ht="14.25" customHeight="1" s="80">
      <c r="C970" s="158" t="n"/>
    </row>
    <row r="971" ht="14.25" customHeight="1" s="80">
      <c r="C971" s="158" t="n"/>
    </row>
    <row r="972" ht="14.25" customHeight="1" s="80">
      <c r="C972" s="158" t="n"/>
    </row>
    <row r="973" ht="14.25" customHeight="1" s="80">
      <c r="C973" s="158" t="n"/>
    </row>
    <row r="974" ht="14.25" customHeight="1" s="80">
      <c r="C974" s="158" t="n"/>
    </row>
    <row r="975" ht="14.25" customHeight="1" s="80">
      <c r="C975" s="158" t="n"/>
    </row>
    <row r="976" ht="14.25" customHeight="1" s="80">
      <c r="C976" s="158" t="n"/>
    </row>
    <row r="977" ht="14.25" customHeight="1" s="80">
      <c r="C977" s="158" t="n"/>
    </row>
    <row r="978" ht="14.25" customHeight="1" s="80">
      <c r="C978" s="158" t="n"/>
    </row>
    <row r="979" ht="14.25" customHeight="1" s="80">
      <c r="C979" s="158" t="n"/>
    </row>
    <row r="980" ht="14.25" customHeight="1" s="80">
      <c r="C980" s="158" t="n"/>
    </row>
    <row r="981" ht="14.25" customHeight="1" s="80">
      <c r="C981" s="158" t="n"/>
    </row>
    <row r="982" ht="14.25" customHeight="1" s="80">
      <c r="C982" s="158" t="n"/>
    </row>
    <row r="983" ht="14.25" customHeight="1" s="80">
      <c r="C983" s="158" t="n"/>
    </row>
    <row r="984" ht="14.25" customHeight="1" s="80">
      <c r="C984" s="158" t="n"/>
    </row>
    <row r="985" ht="14.25" customHeight="1" s="80">
      <c r="C985" s="158" t="n"/>
    </row>
    <row r="986" ht="14.25" customHeight="1" s="80">
      <c r="C986" s="158" t="n"/>
    </row>
    <row r="987" ht="14.25" customHeight="1" s="80">
      <c r="C987" s="158" t="n"/>
    </row>
    <row r="988" ht="14.25" customHeight="1" s="80">
      <c r="C988" s="158" t="n"/>
    </row>
    <row r="989" ht="14.25" customHeight="1" s="80">
      <c r="C989" s="158" t="n"/>
    </row>
    <row r="990" ht="14.25" customHeight="1" s="80">
      <c r="C990" s="158" t="n"/>
    </row>
    <row r="991" ht="14.25" customHeight="1" s="80">
      <c r="C991" s="158" t="n"/>
    </row>
    <row r="992" ht="14.25" customHeight="1" s="80">
      <c r="C992" s="158" t="n"/>
    </row>
    <row r="993" ht="14.25" customHeight="1" s="80">
      <c r="C993" s="158" t="n"/>
    </row>
    <row r="994" ht="14.25" customHeight="1" s="80">
      <c r="C994" s="158" t="n"/>
    </row>
    <row r="995" ht="14.25" customHeight="1" s="80">
      <c r="C995" s="158" t="n"/>
    </row>
    <row r="996" ht="14.25" customHeight="1" s="80">
      <c r="C996" s="158" t="n"/>
    </row>
    <row r="997" ht="14.25" customHeight="1" s="80">
      <c r="C997" s="158" t="n"/>
    </row>
    <row r="998" ht="14.25" customHeight="1" s="80">
      <c r="C998" s="158" t="n"/>
    </row>
    <row r="999" ht="14.25" customHeight="1" s="80">
      <c r="C999" s="158" t="n"/>
    </row>
    <row r="1000" ht="14.25" customHeight="1" s="80">
      <c r="C1000" s="158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2026-06-17T14:49:39Z</dcterms:created>
  <dcterms:modified xmlns:dcterms="http://purl.org/dc/terms/" xmlns:xsi="http://www.w3.org/2001/XMLSchema-instance" xsi:type="dcterms:W3CDTF">2026-06-30T23:19:44Z</dcterms:modified>
  <cp:revision>0</cp:revision>
</cp:coreProperties>
</file>